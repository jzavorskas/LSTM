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joseph_zavorskas_yale_edu/Documents/Organized Grad School/Ch.4 LSTM/LSTM Work/brlA-only_Transcriptomics/"/>
    </mc:Choice>
  </mc:AlternateContent>
  <xr:revisionPtr revIDLastSave="3102" documentId="13_ncr:1_{76C0910D-C292-4A6A-B214-713BEBFC3571}" xr6:coauthVersionLast="47" xr6:coauthVersionMax="47" xr10:uidLastSave="{CC6644A3-2B54-4BBE-AA39-F1EDA26ED7B7}"/>
  <bookViews>
    <workbookView xWindow="-110" yWindow="-110" windowWidth="19420" windowHeight="10420" firstSheet="10" activeTab="11" xr2:uid="{7B73D6A5-4D02-44E5-9551-CC4F27115AA3}"/>
  </bookViews>
  <sheets>
    <sheet name="Overview-Key" sheetId="6" r:id="rId1"/>
    <sheet name="Mica0" sheetId="1" r:id="rId2"/>
    <sheet name="Mica1" sheetId="2" r:id="rId3"/>
    <sheet name="Mica2" sheetId="3" r:id="rId4"/>
    <sheet name="Mica3" sheetId="4" r:id="rId5"/>
    <sheet name="Mica4" sheetId="5" r:id="rId6"/>
    <sheet name="LSTM Data Organization" sheetId="8" r:id="rId7"/>
    <sheet name="AvgTechReps" sheetId="16" r:id="rId8"/>
    <sheet name="T1 - AllMicaAvs" sheetId="7" r:id="rId9"/>
    <sheet name="T2 -Dose-ResponseAvgs" sheetId="10" r:id="rId10"/>
    <sheet name="T3 - ANOVA" sheetId="12" r:id="rId11"/>
    <sheet name="T4 - ParameterOpt_ALLData" sheetId="13" r:id="rId12"/>
    <sheet name="T5 - ParameterOpt_KFold" sheetId="14" r:id="rId13"/>
    <sheet name="T6 - Interp Technique Compare" sheetId="15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5" l="1"/>
  <c r="P3" i="15"/>
  <c r="I18" i="15"/>
  <c r="I14" i="15"/>
  <c r="I10" i="15"/>
  <c r="C18" i="15"/>
  <c r="D18" i="15"/>
  <c r="E18" i="15"/>
  <c r="F18" i="15"/>
  <c r="G18" i="15"/>
  <c r="B18" i="15"/>
  <c r="C14" i="15"/>
  <c r="D14" i="15"/>
  <c r="E14" i="15"/>
  <c r="F14" i="15"/>
  <c r="G14" i="15"/>
  <c r="B14" i="15"/>
  <c r="C10" i="15"/>
  <c r="D10" i="15"/>
  <c r="E10" i="15"/>
  <c r="F10" i="15"/>
  <c r="G10" i="15"/>
  <c r="B10" i="15"/>
  <c r="AZ95" i="12"/>
  <c r="BE95" i="12"/>
  <c r="AZ96" i="12"/>
  <c r="BE96" i="12"/>
  <c r="AZ97" i="12"/>
  <c r="BE97" i="12"/>
  <c r="AZ98" i="12"/>
  <c r="BE98" i="12"/>
  <c r="AZ99" i="12"/>
  <c r="BE99" i="12"/>
  <c r="AZ100" i="12"/>
  <c r="BE100" i="12"/>
  <c r="AZ101" i="12"/>
  <c r="BE101" i="12"/>
  <c r="AZ102" i="12"/>
  <c r="BE102" i="12"/>
  <c r="AZ103" i="12"/>
  <c r="BE103" i="12"/>
  <c r="AZ104" i="12"/>
  <c r="BE104" i="12"/>
  <c r="AZ105" i="12"/>
  <c r="BE105" i="12"/>
  <c r="AZ106" i="12"/>
  <c r="BE106" i="12"/>
  <c r="AZ107" i="12"/>
  <c r="BE107" i="12"/>
  <c r="AZ108" i="12"/>
  <c r="BE108" i="12"/>
  <c r="BE94" i="12"/>
  <c r="AZ94" i="12"/>
  <c r="AY108" i="12"/>
  <c r="AX108" i="12"/>
  <c r="AW108" i="12"/>
  <c r="AV108" i="12"/>
  <c r="AY107" i="12"/>
  <c r="AX107" i="12"/>
  <c r="AW107" i="12"/>
  <c r="AV107" i="12"/>
  <c r="AY106" i="12"/>
  <c r="AX106" i="12"/>
  <c r="AW106" i="12"/>
  <c r="AV106" i="12"/>
  <c r="AY105" i="12"/>
  <c r="AX105" i="12"/>
  <c r="AW105" i="12"/>
  <c r="AV105" i="12"/>
  <c r="AY104" i="12"/>
  <c r="AX104" i="12"/>
  <c r="AW104" i="12"/>
  <c r="AV104" i="12"/>
  <c r="AY103" i="12"/>
  <c r="AX103" i="12"/>
  <c r="AW103" i="12"/>
  <c r="AV103" i="12"/>
  <c r="AY102" i="12"/>
  <c r="AX102" i="12"/>
  <c r="AW102" i="12"/>
  <c r="AV102" i="12"/>
  <c r="AY101" i="12"/>
  <c r="AX101" i="12"/>
  <c r="AW101" i="12"/>
  <c r="AV101" i="12"/>
  <c r="AY100" i="12"/>
  <c r="AX100" i="12"/>
  <c r="AW100" i="12"/>
  <c r="AV100" i="12"/>
  <c r="AY99" i="12"/>
  <c r="AX99" i="12"/>
  <c r="AW99" i="12"/>
  <c r="AV99" i="12"/>
  <c r="AY98" i="12"/>
  <c r="AX98" i="12"/>
  <c r="AW98" i="12"/>
  <c r="AV98" i="12"/>
  <c r="AY97" i="12"/>
  <c r="AX97" i="12"/>
  <c r="AW97" i="12"/>
  <c r="AV97" i="12"/>
  <c r="AY96" i="12"/>
  <c r="AX96" i="12"/>
  <c r="AW96" i="12"/>
  <c r="AV96" i="12"/>
  <c r="AY95" i="12"/>
  <c r="AX95" i="12"/>
  <c r="AW95" i="12"/>
  <c r="AV95" i="12"/>
  <c r="AY94" i="12"/>
  <c r="AX94" i="12"/>
  <c r="AW94" i="12"/>
  <c r="AV94" i="12"/>
  <c r="AZ91" i="12"/>
  <c r="AY91" i="12"/>
  <c r="AX91" i="12"/>
  <c r="AY90" i="12"/>
  <c r="AX90" i="12"/>
  <c r="AW90" i="12"/>
  <c r="AV90" i="12"/>
  <c r="AY89" i="12"/>
  <c r="AX89" i="12"/>
  <c r="AW89" i="12"/>
  <c r="AV89" i="12"/>
  <c r="AY88" i="12"/>
  <c r="AX88" i="12"/>
  <c r="AW88" i="12"/>
  <c r="AV88" i="12"/>
  <c r="AY87" i="12"/>
  <c r="AX87" i="12"/>
  <c r="AW87" i="12"/>
  <c r="AV87" i="12"/>
  <c r="AY86" i="12"/>
  <c r="AX86" i="12"/>
  <c r="AW86" i="12"/>
  <c r="AV86" i="12"/>
  <c r="AY85" i="12"/>
  <c r="AX85" i="12"/>
  <c r="AW85" i="12"/>
  <c r="AV85" i="12"/>
  <c r="AO98" i="12"/>
  <c r="AN98" i="12"/>
  <c r="AM98" i="12"/>
  <c r="AM96" i="12" s="1"/>
  <c r="AN97" i="12"/>
  <c r="AO97" i="12" s="1"/>
  <c r="AM97" i="12"/>
  <c r="AN96" i="12"/>
  <c r="AQ92" i="12"/>
  <c r="AP92" i="12"/>
  <c r="AO92" i="12"/>
  <c r="AN92" i="12"/>
  <c r="AM92" i="12"/>
  <c r="AL92" i="12"/>
  <c r="AQ91" i="12"/>
  <c r="AP91" i="12"/>
  <c r="AO91" i="12"/>
  <c r="AN91" i="12"/>
  <c r="AM91" i="12"/>
  <c r="AL91" i="12"/>
  <c r="AQ90" i="12"/>
  <c r="AP90" i="12"/>
  <c r="AO90" i="12"/>
  <c r="AN90" i="12"/>
  <c r="AM90" i="12"/>
  <c r="AL90" i="12"/>
  <c r="AQ89" i="12"/>
  <c r="AP89" i="12"/>
  <c r="AO89" i="12"/>
  <c r="AN89" i="12"/>
  <c r="AM89" i="12"/>
  <c r="AL89" i="12"/>
  <c r="AQ88" i="12"/>
  <c r="AP88" i="12"/>
  <c r="AO88" i="12"/>
  <c r="AN88" i="12"/>
  <c r="AM88" i="12"/>
  <c r="AL88" i="12"/>
  <c r="AQ87" i="12"/>
  <c r="AP87" i="12"/>
  <c r="AO87" i="12"/>
  <c r="AN87" i="12"/>
  <c r="AM87" i="12"/>
  <c r="AL87" i="12"/>
  <c r="AZ68" i="12"/>
  <c r="BE68" i="12"/>
  <c r="AZ69" i="12"/>
  <c r="BE69" i="12"/>
  <c r="AZ70" i="12"/>
  <c r="BE70" i="12"/>
  <c r="AZ71" i="12"/>
  <c r="BE71" i="12"/>
  <c r="AZ72" i="12"/>
  <c r="BE72" i="12"/>
  <c r="AZ73" i="12"/>
  <c r="BE73" i="12"/>
  <c r="AZ74" i="12"/>
  <c r="BE74" i="12"/>
  <c r="AZ75" i="12"/>
  <c r="BE75" i="12"/>
  <c r="AZ76" i="12"/>
  <c r="BE76" i="12"/>
  <c r="AZ77" i="12"/>
  <c r="BE77" i="12"/>
  <c r="AZ78" i="12"/>
  <c r="BE78" i="12"/>
  <c r="AZ79" i="12"/>
  <c r="BE79" i="12"/>
  <c r="AZ80" i="12"/>
  <c r="BE80" i="12"/>
  <c r="AZ81" i="12"/>
  <c r="BE81" i="12"/>
  <c r="BE67" i="12"/>
  <c r="AZ67" i="12"/>
  <c r="AY81" i="12"/>
  <c r="AX81" i="12"/>
  <c r="AW81" i="12"/>
  <c r="AV81" i="12"/>
  <c r="AY80" i="12"/>
  <c r="AX80" i="12"/>
  <c r="AW80" i="12"/>
  <c r="AV80" i="12"/>
  <c r="AY79" i="12"/>
  <c r="AX79" i="12"/>
  <c r="AW79" i="12"/>
  <c r="AV79" i="12"/>
  <c r="AY78" i="12"/>
  <c r="AX78" i="12"/>
  <c r="AW78" i="12"/>
  <c r="AV78" i="12"/>
  <c r="AY77" i="12"/>
  <c r="AX77" i="12"/>
  <c r="AW77" i="12"/>
  <c r="AV77" i="12"/>
  <c r="AY76" i="12"/>
  <c r="AX76" i="12"/>
  <c r="AW76" i="12"/>
  <c r="AV76" i="12"/>
  <c r="AY75" i="12"/>
  <c r="AX75" i="12"/>
  <c r="AW75" i="12"/>
  <c r="AV75" i="12"/>
  <c r="AY74" i="12"/>
  <c r="AX74" i="12"/>
  <c r="AW74" i="12"/>
  <c r="AV74" i="12"/>
  <c r="AY73" i="12"/>
  <c r="AX73" i="12"/>
  <c r="AW73" i="12"/>
  <c r="AV73" i="12"/>
  <c r="AY72" i="12"/>
  <c r="AX72" i="12"/>
  <c r="AW72" i="12"/>
  <c r="AV72" i="12"/>
  <c r="AY71" i="12"/>
  <c r="AX71" i="12"/>
  <c r="AW71" i="12"/>
  <c r="AV71" i="12"/>
  <c r="AY70" i="12"/>
  <c r="AX70" i="12"/>
  <c r="AW70" i="12"/>
  <c r="AV70" i="12"/>
  <c r="AY69" i="12"/>
  <c r="AX69" i="12"/>
  <c r="AW69" i="12"/>
  <c r="AV69" i="12"/>
  <c r="AY68" i="12"/>
  <c r="AX68" i="12"/>
  <c r="AW68" i="12"/>
  <c r="AV68" i="12"/>
  <c r="AY67" i="12"/>
  <c r="AX67" i="12"/>
  <c r="AW67" i="12"/>
  <c r="AV67" i="12"/>
  <c r="AZ64" i="12"/>
  <c r="AY64" i="12"/>
  <c r="AX64" i="12"/>
  <c r="AY63" i="12"/>
  <c r="AX63" i="12"/>
  <c r="AW63" i="12"/>
  <c r="AV63" i="12"/>
  <c r="AY62" i="12"/>
  <c r="AX62" i="12"/>
  <c r="AW62" i="12"/>
  <c r="AV62" i="12"/>
  <c r="AY61" i="12"/>
  <c r="AX61" i="12"/>
  <c r="AW61" i="12"/>
  <c r="AV61" i="12"/>
  <c r="AY60" i="12"/>
  <c r="AX60" i="12"/>
  <c r="AW60" i="12"/>
  <c r="AV60" i="12"/>
  <c r="AY59" i="12"/>
  <c r="AX59" i="12"/>
  <c r="AW59" i="12"/>
  <c r="AV59" i="12"/>
  <c r="AY58" i="12"/>
  <c r="AX58" i="12"/>
  <c r="AW58" i="12"/>
  <c r="AV58" i="12"/>
  <c r="AO71" i="12"/>
  <c r="AN71" i="12"/>
  <c r="AM71" i="12"/>
  <c r="AO70" i="12"/>
  <c r="AR63" i="12" s="1"/>
  <c r="AT63" i="12" s="1"/>
  <c r="AN70" i="12"/>
  <c r="AM70" i="12"/>
  <c r="AT69" i="12"/>
  <c r="AS69" i="12"/>
  <c r="AO69" i="12"/>
  <c r="AP69" i="12" s="1"/>
  <c r="AQ69" i="12" s="1"/>
  <c r="AN69" i="12"/>
  <c r="AM69" i="12"/>
  <c r="AR69" i="12" s="1"/>
  <c r="AR65" i="12"/>
  <c r="AT65" i="12" s="1"/>
  <c r="AQ65" i="12"/>
  <c r="AP65" i="12"/>
  <c r="AO65" i="12"/>
  <c r="AN65" i="12"/>
  <c r="AM65" i="12"/>
  <c r="AL65" i="12"/>
  <c r="AQ64" i="12"/>
  <c r="AP64" i="12"/>
  <c r="AO64" i="12"/>
  <c r="AN64" i="12"/>
  <c r="AM64" i="12"/>
  <c r="AL64" i="12"/>
  <c r="AQ63" i="12"/>
  <c r="AP63" i="12"/>
  <c r="AO63" i="12"/>
  <c r="AN63" i="12"/>
  <c r="AM63" i="12"/>
  <c r="AL63" i="12"/>
  <c r="AR62" i="12"/>
  <c r="AT62" i="12" s="1"/>
  <c r="AQ62" i="12"/>
  <c r="AP62" i="12"/>
  <c r="AO62" i="12"/>
  <c r="AN62" i="12"/>
  <c r="AM62" i="12"/>
  <c r="AL62" i="12"/>
  <c r="AQ61" i="12"/>
  <c r="AP61" i="12"/>
  <c r="AO61" i="12"/>
  <c r="AN61" i="12"/>
  <c r="AM61" i="12"/>
  <c r="AL61" i="12"/>
  <c r="AQ60" i="12"/>
  <c r="AP60" i="12"/>
  <c r="AO60" i="12"/>
  <c r="AN60" i="12"/>
  <c r="AM60" i="12"/>
  <c r="AL60" i="12"/>
  <c r="AZ14" i="12"/>
  <c r="BE14" i="12"/>
  <c r="AZ15" i="12"/>
  <c r="BE15" i="12"/>
  <c r="AZ16" i="12"/>
  <c r="BE16" i="12"/>
  <c r="AZ17" i="12"/>
  <c r="BE17" i="12"/>
  <c r="AZ18" i="12"/>
  <c r="BE18" i="12"/>
  <c r="AZ19" i="12"/>
  <c r="BE19" i="12"/>
  <c r="AZ20" i="12"/>
  <c r="BE20" i="12"/>
  <c r="AZ21" i="12"/>
  <c r="BE21" i="12"/>
  <c r="AZ22" i="12"/>
  <c r="BE22" i="12"/>
  <c r="AZ23" i="12"/>
  <c r="BE23" i="12"/>
  <c r="AZ24" i="12"/>
  <c r="BE24" i="12"/>
  <c r="AZ25" i="12"/>
  <c r="BE25" i="12"/>
  <c r="AZ26" i="12"/>
  <c r="BE26" i="12"/>
  <c r="AZ27" i="12"/>
  <c r="BE27" i="12"/>
  <c r="BE13" i="12"/>
  <c r="AZ13" i="12"/>
  <c r="AY27" i="12"/>
  <c r="AX27" i="12"/>
  <c r="AW27" i="12"/>
  <c r="AV27" i="12"/>
  <c r="AY26" i="12"/>
  <c r="AX26" i="12"/>
  <c r="AW26" i="12"/>
  <c r="AV26" i="12"/>
  <c r="AY25" i="12"/>
  <c r="AX25" i="12"/>
  <c r="AW25" i="12"/>
  <c r="AV25" i="12"/>
  <c r="AY24" i="12"/>
  <c r="AX24" i="12"/>
  <c r="AW24" i="12"/>
  <c r="AV24" i="12"/>
  <c r="AY23" i="12"/>
  <c r="AX23" i="12"/>
  <c r="AW23" i="12"/>
  <c r="AV23" i="12"/>
  <c r="AY22" i="12"/>
  <c r="AX22" i="12"/>
  <c r="AW22" i="12"/>
  <c r="AV22" i="12"/>
  <c r="AY21" i="12"/>
  <c r="AX21" i="12"/>
  <c r="AW21" i="12"/>
  <c r="AV21" i="12"/>
  <c r="AY20" i="12"/>
  <c r="AX20" i="12"/>
  <c r="AW20" i="12"/>
  <c r="AV20" i="12"/>
  <c r="AY19" i="12"/>
  <c r="AX19" i="12"/>
  <c r="AW19" i="12"/>
  <c r="AV19" i="12"/>
  <c r="AY18" i="12"/>
  <c r="AX18" i="12"/>
  <c r="AW18" i="12"/>
  <c r="AV18" i="12"/>
  <c r="AY17" i="12"/>
  <c r="AX17" i="12"/>
  <c r="AW17" i="12"/>
  <c r="AV17" i="12"/>
  <c r="AY16" i="12"/>
  <c r="AX16" i="12"/>
  <c r="AW16" i="12"/>
  <c r="AV16" i="12"/>
  <c r="AY15" i="12"/>
  <c r="AX15" i="12"/>
  <c r="AW15" i="12"/>
  <c r="AV15" i="12"/>
  <c r="AY14" i="12"/>
  <c r="AX14" i="12"/>
  <c r="AW14" i="12"/>
  <c r="AV14" i="12"/>
  <c r="AY13" i="12"/>
  <c r="AX13" i="12"/>
  <c r="AW13" i="12"/>
  <c r="AV13" i="12"/>
  <c r="AZ10" i="12"/>
  <c r="AY10" i="12"/>
  <c r="AX10" i="12"/>
  <c r="AY9" i="12"/>
  <c r="AX9" i="12"/>
  <c r="AW9" i="12"/>
  <c r="AV9" i="12"/>
  <c r="AY8" i="12"/>
  <c r="AX8" i="12"/>
  <c r="AW8" i="12"/>
  <c r="AV8" i="12"/>
  <c r="AY7" i="12"/>
  <c r="AX7" i="12"/>
  <c r="AW7" i="12"/>
  <c r="AV7" i="12"/>
  <c r="AY6" i="12"/>
  <c r="AX6" i="12"/>
  <c r="AW6" i="12"/>
  <c r="AV6" i="12"/>
  <c r="AY5" i="12"/>
  <c r="AX5" i="12"/>
  <c r="AW5" i="12"/>
  <c r="AV5" i="12"/>
  <c r="AY4" i="12"/>
  <c r="AX4" i="12"/>
  <c r="AW4" i="12"/>
  <c r="AV4" i="12"/>
  <c r="AO17" i="12"/>
  <c r="AN17" i="12"/>
  <c r="AN16" i="12" s="1"/>
  <c r="AO16" i="12" s="1"/>
  <c r="AM17" i="12"/>
  <c r="AM16" i="12"/>
  <c r="AR15" i="12"/>
  <c r="AN15" i="12"/>
  <c r="AM15" i="12"/>
  <c r="AO15" i="12" s="1"/>
  <c r="AQ11" i="12"/>
  <c r="AP11" i="12"/>
  <c r="AO11" i="12"/>
  <c r="AN11" i="12"/>
  <c r="AM11" i="12"/>
  <c r="AL11" i="12"/>
  <c r="AQ10" i="12"/>
  <c r="AP10" i="12"/>
  <c r="AO10" i="12"/>
  <c r="AN10" i="12"/>
  <c r="AM10" i="12"/>
  <c r="AL10" i="12"/>
  <c r="AQ9" i="12"/>
  <c r="AP9" i="12"/>
  <c r="AO9" i="12"/>
  <c r="AN9" i="12"/>
  <c r="AM9" i="12"/>
  <c r="AL9" i="12"/>
  <c r="AQ8" i="12"/>
  <c r="AP8" i="12"/>
  <c r="AO8" i="12"/>
  <c r="AN8" i="12"/>
  <c r="AM8" i="12"/>
  <c r="AL8" i="12"/>
  <c r="AQ7" i="12"/>
  <c r="AP7" i="12"/>
  <c r="AO7" i="12"/>
  <c r="AN7" i="12"/>
  <c r="AM7" i="12"/>
  <c r="AL7" i="12"/>
  <c r="AQ6" i="12"/>
  <c r="AP6" i="12"/>
  <c r="AO6" i="12"/>
  <c r="AN6" i="12"/>
  <c r="AM6" i="12"/>
  <c r="AL6" i="12"/>
  <c r="F52" i="12"/>
  <c r="F54" i="12"/>
  <c r="F55" i="12"/>
  <c r="F56" i="12"/>
  <c r="F57" i="12"/>
  <c r="F53" i="12"/>
  <c r="AV54" i="12"/>
  <c r="AV52" i="12"/>
  <c r="AV50" i="12"/>
  <c r="AV48" i="12"/>
  <c r="AV46" i="12"/>
  <c r="AV44" i="12"/>
  <c r="AV42" i="12"/>
  <c r="AV40" i="12"/>
  <c r="AY36" i="12"/>
  <c r="AX36" i="12"/>
  <c r="AW36" i="12"/>
  <c r="AV36" i="12"/>
  <c r="AW53" i="12" s="1"/>
  <c r="AY35" i="12"/>
  <c r="AX35" i="12"/>
  <c r="AW35" i="12"/>
  <c r="AX54" i="12" s="1"/>
  <c r="AV35" i="12"/>
  <c r="AW47" i="12" s="1"/>
  <c r="AY34" i="12"/>
  <c r="AX34" i="12"/>
  <c r="AW34" i="12"/>
  <c r="AX53" i="12" s="1"/>
  <c r="AV34" i="12"/>
  <c r="AW49" i="12" s="1"/>
  <c r="AY33" i="12"/>
  <c r="AX33" i="12"/>
  <c r="AW33" i="12"/>
  <c r="AX51" i="12" s="1"/>
  <c r="AV33" i="12"/>
  <c r="AW45" i="12" s="1"/>
  <c r="AY32" i="12"/>
  <c r="AX32" i="12"/>
  <c r="AW32" i="12"/>
  <c r="AX47" i="12" s="1"/>
  <c r="AV32" i="12"/>
  <c r="AV47" i="12" s="1"/>
  <c r="AY31" i="12"/>
  <c r="AY37" i="12" s="1"/>
  <c r="AX31" i="12"/>
  <c r="AW31" i="12"/>
  <c r="AX43" i="12" s="1"/>
  <c r="AV31" i="12"/>
  <c r="AV43" i="12" s="1"/>
  <c r="AN44" i="12"/>
  <c r="AM44" i="12"/>
  <c r="AO44" i="12" s="1"/>
  <c r="AQ38" i="12"/>
  <c r="AP38" i="12"/>
  <c r="AO38" i="12"/>
  <c r="AN38" i="12"/>
  <c r="AM38" i="12"/>
  <c r="AL38" i="12"/>
  <c r="AQ37" i="12"/>
  <c r="AP37" i="12"/>
  <c r="AO37" i="12"/>
  <c r="AN37" i="12"/>
  <c r="AM37" i="12"/>
  <c r="AL37" i="12"/>
  <c r="AQ36" i="12"/>
  <c r="AP36" i="12"/>
  <c r="AO36" i="12"/>
  <c r="AN36" i="12"/>
  <c r="AM36" i="12"/>
  <c r="AL36" i="12"/>
  <c r="AQ35" i="12"/>
  <c r="AP35" i="12"/>
  <c r="AO35" i="12"/>
  <c r="AN35" i="12"/>
  <c r="AM35" i="12"/>
  <c r="AL35" i="12"/>
  <c r="AN42" i="12" s="1"/>
  <c r="AQ34" i="12"/>
  <c r="AP34" i="12"/>
  <c r="AO34" i="12"/>
  <c r="AN34" i="12"/>
  <c r="AM34" i="12"/>
  <c r="AL34" i="12"/>
  <c r="AQ33" i="12"/>
  <c r="AP33" i="12"/>
  <c r="AO33" i="12"/>
  <c r="AN33" i="12"/>
  <c r="AM33" i="12"/>
  <c r="AL33" i="12"/>
  <c r="O57" i="12"/>
  <c r="O58" i="12"/>
  <c r="O59" i="12"/>
  <c r="O60" i="12"/>
  <c r="O56" i="12"/>
  <c r="Z106" i="12"/>
  <c r="AA104" i="12"/>
  <c r="Z104" i="12"/>
  <c r="AB102" i="12"/>
  <c r="AA102" i="12"/>
  <c r="Z102" i="12"/>
  <c r="AA101" i="12"/>
  <c r="Z101" i="12"/>
  <c r="AB99" i="12"/>
  <c r="AA99" i="12"/>
  <c r="AA98" i="12"/>
  <c r="AC93" i="12"/>
  <c r="AB93" i="12"/>
  <c r="AA93" i="12"/>
  <c r="AB103" i="12" s="1"/>
  <c r="Z93" i="12"/>
  <c r="AC92" i="12"/>
  <c r="AB92" i="12"/>
  <c r="AA92" i="12"/>
  <c r="AB106" i="12" s="1"/>
  <c r="Z92" i="12"/>
  <c r="AC91" i="12"/>
  <c r="AB91" i="12"/>
  <c r="AA91" i="12"/>
  <c r="AB105" i="12" s="1"/>
  <c r="Z91" i="12"/>
  <c r="Z105" i="12" s="1"/>
  <c r="AC90" i="12"/>
  <c r="AB90" i="12"/>
  <c r="AA90" i="12"/>
  <c r="Z90" i="12"/>
  <c r="AA97" i="12" s="1"/>
  <c r="AC89" i="12"/>
  <c r="AB89" i="12"/>
  <c r="AA89" i="12"/>
  <c r="AB100" i="12" s="1"/>
  <c r="Z89" i="12"/>
  <c r="R101" i="12"/>
  <c r="R100" i="12" s="1"/>
  <c r="Q101" i="12"/>
  <c r="U95" i="12"/>
  <c r="T95" i="12"/>
  <c r="S95" i="12"/>
  <c r="R95" i="12"/>
  <c r="Q95" i="12"/>
  <c r="P95" i="12"/>
  <c r="U94" i="12"/>
  <c r="T94" i="12"/>
  <c r="S94" i="12"/>
  <c r="R94" i="12"/>
  <c r="Q94" i="12"/>
  <c r="P94" i="12"/>
  <c r="U93" i="12"/>
  <c r="Q100" i="12" s="1"/>
  <c r="T93" i="12"/>
  <c r="S93" i="12"/>
  <c r="R93" i="12"/>
  <c r="Q93" i="12"/>
  <c r="P93" i="12"/>
  <c r="U92" i="12"/>
  <c r="T92" i="12"/>
  <c r="S92" i="12"/>
  <c r="R92" i="12"/>
  <c r="Q92" i="12"/>
  <c r="P92" i="12"/>
  <c r="U91" i="12"/>
  <c r="T91" i="12"/>
  <c r="S91" i="12"/>
  <c r="R91" i="12"/>
  <c r="Q91" i="12"/>
  <c r="P91" i="12"/>
  <c r="R99" i="12" s="1"/>
  <c r="AD78" i="12"/>
  <c r="AA85" i="12"/>
  <c r="Z85" i="12"/>
  <c r="AC84" i="12"/>
  <c r="Z83" i="12"/>
  <c r="AC82" i="12"/>
  <c r="Z81" i="12"/>
  <c r="AC80" i="12"/>
  <c r="AB79" i="12"/>
  <c r="AA79" i="12"/>
  <c r="Z79" i="12"/>
  <c r="AC78" i="12"/>
  <c r="AB77" i="12"/>
  <c r="AA77" i="12"/>
  <c r="Z77" i="12"/>
  <c r="AC76" i="12"/>
  <c r="AC72" i="12"/>
  <c r="AB72" i="12"/>
  <c r="AA72" i="12"/>
  <c r="Z72" i="12"/>
  <c r="AA84" i="12" s="1"/>
  <c r="AC71" i="12"/>
  <c r="AB71" i="12"/>
  <c r="AA71" i="12"/>
  <c r="AB85" i="12" s="1"/>
  <c r="Z71" i="12"/>
  <c r="AA78" i="12" s="1"/>
  <c r="AC70" i="12"/>
  <c r="AB70" i="12"/>
  <c r="AA70" i="12"/>
  <c r="AB84" i="12" s="1"/>
  <c r="Z70" i="12"/>
  <c r="AA80" i="12" s="1"/>
  <c r="AC69" i="12"/>
  <c r="AB69" i="12"/>
  <c r="AA69" i="12"/>
  <c r="AB82" i="12" s="1"/>
  <c r="AI82" i="12" s="1"/>
  <c r="Z69" i="12"/>
  <c r="AA76" i="12" s="1"/>
  <c r="AC68" i="12"/>
  <c r="AC73" i="12" s="1"/>
  <c r="AB68" i="12"/>
  <c r="AB73" i="12" s="1"/>
  <c r="AD73" i="12" s="1"/>
  <c r="AI79" i="12" s="1"/>
  <c r="AA68" i="12"/>
  <c r="AB78" i="12" s="1"/>
  <c r="Z68" i="12"/>
  <c r="Z78" i="12" s="1"/>
  <c r="R80" i="12"/>
  <c r="Q80" i="12"/>
  <c r="Q79" i="12"/>
  <c r="U74" i="12"/>
  <c r="T74" i="12"/>
  <c r="S74" i="12"/>
  <c r="R74" i="12"/>
  <c r="Q74" i="12"/>
  <c r="P74" i="12"/>
  <c r="U73" i="12"/>
  <c r="T73" i="12"/>
  <c r="S73" i="12"/>
  <c r="R73" i="12"/>
  <c r="Q73" i="12"/>
  <c r="P73" i="12"/>
  <c r="U72" i="12"/>
  <c r="T72" i="12"/>
  <c r="S72" i="12"/>
  <c r="R72" i="12"/>
  <c r="Q72" i="12"/>
  <c r="P72" i="12"/>
  <c r="U71" i="12"/>
  <c r="T71" i="12"/>
  <c r="S71" i="12"/>
  <c r="R71" i="12"/>
  <c r="Q71" i="12"/>
  <c r="P71" i="12"/>
  <c r="U70" i="12"/>
  <c r="T70" i="12"/>
  <c r="S70" i="12"/>
  <c r="R70" i="12"/>
  <c r="Q70" i="12"/>
  <c r="P70" i="12"/>
  <c r="R78" i="12" s="1"/>
  <c r="R79" i="12" s="1"/>
  <c r="Z63" i="12"/>
  <c r="Z61" i="12"/>
  <c r="Z59" i="12"/>
  <c r="AA57" i="12"/>
  <c r="Z57" i="12"/>
  <c r="AA55" i="12"/>
  <c r="Z55" i="12"/>
  <c r="AC51" i="12"/>
  <c r="AB51" i="12"/>
  <c r="AA51" i="12"/>
  <c r="AB61" i="12" s="1"/>
  <c r="Z51" i="12"/>
  <c r="AA64" i="12" s="1"/>
  <c r="AC50" i="12"/>
  <c r="AB50" i="12"/>
  <c r="AA50" i="12"/>
  <c r="AB64" i="12" s="1"/>
  <c r="Z50" i="12"/>
  <c r="AA62" i="12" s="1"/>
  <c r="AC49" i="12"/>
  <c r="AB49" i="12"/>
  <c r="AA49" i="12"/>
  <c r="AB62" i="12" s="1"/>
  <c r="Z49" i="12"/>
  <c r="AA56" i="12" s="1"/>
  <c r="AC48" i="12"/>
  <c r="AB48" i="12"/>
  <c r="AA48" i="12"/>
  <c r="AB60" i="12" s="1"/>
  <c r="Z48" i="12"/>
  <c r="Z60" i="12" s="1"/>
  <c r="AC47" i="12"/>
  <c r="AB47" i="12"/>
  <c r="AA47" i="12"/>
  <c r="AB58" i="12" s="1"/>
  <c r="Z47" i="12"/>
  <c r="Z58" i="12" s="1"/>
  <c r="R59" i="12"/>
  <c r="S59" i="12" s="1"/>
  <c r="Q59" i="12"/>
  <c r="U53" i="12"/>
  <c r="T53" i="12"/>
  <c r="S53" i="12"/>
  <c r="R53" i="12"/>
  <c r="Q53" i="12"/>
  <c r="P53" i="12"/>
  <c r="U52" i="12"/>
  <c r="T52" i="12"/>
  <c r="S52" i="12"/>
  <c r="R52" i="12"/>
  <c r="Q52" i="12"/>
  <c r="P52" i="12"/>
  <c r="U51" i="12"/>
  <c r="T51" i="12"/>
  <c r="S51" i="12"/>
  <c r="R51" i="12"/>
  <c r="Q51" i="12"/>
  <c r="P51" i="12"/>
  <c r="U50" i="12"/>
  <c r="T50" i="12"/>
  <c r="S50" i="12"/>
  <c r="R50" i="12"/>
  <c r="Q50" i="12"/>
  <c r="P50" i="12"/>
  <c r="U49" i="12"/>
  <c r="T49" i="12"/>
  <c r="S49" i="12"/>
  <c r="R49" i="12"/>
  <c r="Q49" i="12"/>
  <c r="P49" i="12"/>
  <c r="AI35" i="12"/>
  <c r="AI40" i="12"/>
  <c r="AA43" i="12"/>
  <c r="Z43" i="12"/>
  <c r="Z42" i="12"/>
  <c r="AA41" i="12"/>
  <c r="Z41" i="12"/>
  <c r="AB37" i="12"/>
  <c r="AA37" i="12"/>
  <c r="Z37" i="12"/>
  <c r="Z36" i="12"/>
  <c r="AB35" i="12"/>
  <c r="AA35" i="12"/>
  <c r="Z35" i="12"/>
  <c r="Z34" i="12"/>
  <c r="AB31" i="12"/>
  <c r="AD31" i="12" s="1"/>
  <c r="AC30" i="12"/>
  <c r="AB30" i="12"/>
  <c r="AA30" i="12"/>
  <c r="Z30" i="12"/>
  <c r="AA42" i="12" s="1"/>
  <c r="AC29" i="12"/>
  <c r="AB29" i="12"/>
  <c r="AA29" i="12"/>
  <c r="AB43" i="12" s="1"/>
  <c r="Z29" i="12"/>
  <c r="AA36" i="12" s="1"/>
  <c r="AC28" i="12"/>
  <c r="AB28" i="12"/>
  <c r="AA28" i="12"/>
  <c r="AB42" i="12" s="1"/>
  <c r="Z28" i="12"/>
  <c r="AA38" i="12" s="1"/>
  <c r="AC27" i="12"/>
  <c r="AB27" i="12"/>
  <c r="AA27" i="12"/>
  <c r="AB40" i="12" s="1"/>
  <c r="Z27" i="12"/>
  <c r="AC26" i="12"/>
  <c r="AC31" i="12" s="1"/>
  <c r="AB26" i="12"/>
  <c r="AA26" i="12"/>
  <c r="AB36" i="12" s="1"/>
  <c r="Z26" i="12"/>
  <c r="S38" i="12"/>
  <c r="R38" i="12"/>
  <c r="Q38" i="12"/>
  <c r="U32" i="12"/>
  <c r="T32" i="12"/>
  <c r="S32" i="12"/>
  <c r="R32" i="12"/>
  <c r="Q32" i="12"/>
  <c r="P32" i="12"/>
  <c r="U31" i="12"/>
  <c r="T31" i="12"/>
  <c r="S31" i="12"/>
  <c r="R31" i="12"/>
  <c r="Q31" i="12"/>
  <c r="P31" i="12"/>
  <c r="U30" i="12"/>
  <c r="T30" i="12"/>
  <c r="S30" i="12"/>
  <c r="R30" i="12"/>
  <c r="Q30" i="12"/>
  <c r="P30" i="12"/>
  <c r="U29" i="12"/>
  <c r="Q37" i="12" s="1"/>
  <c r="Q36" i="12" s="1"/>
  <c r="T29" i="12"/>
  <c r="S29" i="12"/>
  <c r="R29" i="12"/>
  <c r="Q29" i="12"/>
  <c r="P29" i="12"/>
  <c r="U28" i="12"/>
  <c r="T28" i="12"/>
  <c r="S28" i="12"/>
  <c r="R28" i="12"/>
  <c r="Q28" i="12"/>
  <c r="P28" i="12"/>
  <c r="AA21" i="12"/>
  <c r="Z21" i="12"/>
  <c r="Z20" i="12"/>
  <c r="Z19" i="12"/>
  <c r="AB15" i="12"/>
  <c r="AA15" i="12"/>
  <c r="Z15" i="12"/>
  <c r="Z14" i="12"/>
  <c r="AB13" i="12"/>
  <c r="AA13" i="12"/>
  <c r="Z13" i="12"/>
  <c r="Z12" i="12"/>
  <c r="AB9" i="12"/>
  <c r="AD9" i="12" s="1"/>
  <c r="AC8" i="12"/>
  <c r="AB8" i="12"/>
  <c r="AA8" i="12"/>
  <c r="Z8" i="12"/>
  <c r="AA20" i="12" s="1"/>
  <c r="AC7" i="12"/>
  <c r="AB7" i="12"/>
  <c r="AA7" i="12"/>
  <c r="AB21" i="12" s="1"/>
  <c r="Z7" i="12"/>
  <c r="AA14" i="12" s="1"/>
  <c r="AC6" i="12"/>
  <c r="AB6" i="12"/>
  <c r="AA6" i="12"/>
  <c r="AB20" i="12" s="1"/>
  <c r="Z6" i="12"/>
  <c r="AA16" i="12" s="1"/>
  <c r="AC5" i="12"/>
  <c r="AB5" i="12"/>
  <c r="AA5" i="12"/>
  <c r="AB18" i="12" s="1"/>
  <c r="Z5" i="12"/>
  <c r="Z17" i="12" s="1"/>
  <c r="AC4" i="12"/>
  <c r="AB4" i="12"/>
  <c r="AA4" i="12"/>
  <c r="AB14" i="12" s="1"/>
  <c r="Z4" i="12"/>
  <c r="R16" i="12"/>
  <c r="Q16" i="12"/>
  <c r="Q15" i="12"/>
  <c r="U10" i="12"/>
  <c r="T10" i="12"/>
  <c r="S10" i="12"/>
  <c r="R10" i="12"/>
  <c r="Q10" i="12"/>
  <c r="P10" i="12"/>
  <c r="U9" i="12"/>
  <c r="T9" i="12"/>
  <c r="S9" i="12"/>
  <c r="R9" i="12"/>
  <c r="Q9" i="12"/>
  <c r="P9" i="12"/>
  <c r="U8" i="12"/>
  <c r="T8" i="12"/>
  <c r="S8" i="12"/>
  <c r="R8" i="12"/>
  <c r="Q8" i="12"/>
  <c r="P8" i="12"/>
  <c r="U7" i="12"/>
  <c r="T7" i="12"/>
  <c r="S7" i="12"/>
  <c r="R7" i="12"/>
  <c r="Q7" i="12"/>
  <c r="P7" i="12"/>
  <c r="U6" i="12"/>
  <c r="T6" i="12"/>
  <c r="S6" i="12"/>
  <c r="R6" i="12"/>
  <c r="Q6" i="12"/>
  <c r="P6" i="12"/>
  <c r="R14" i="12" s="1"/>
  <c r="R15" i="12" s="1"/>
  <c r="S15" i="12" s="1"/>
  <c r="BC75" i="12"/>
  <c r="BC16" i="12"/>
  <c r="BC27" i="12"/>
  <c r="BC104" i="12"/>
  <c r="BC96" i="12"/>
  <c r="BC25" i="12"/>
  <c r="BC72" i="12"/>
  <c r="BC13" i="12"/>
  <c r="BC97" i="12"/>
  <c r="BC22" i="12"/>
  <c r="BC14" i="12"/>
  <c r="AG78" i="12"/>
  <c r="BA64" i="12"/>
  <c r="BC19" i="12"/>
  <c r="BA91" i="12"/>
  <c r="BC102" i="12"/>
  <c r="BC105" i="12"/>
  <c r="BC73" i="12"/>
  <c r="BC103" i="12"/>
  <c r="BC77" i="12"/>
  <c r="BC80" i="12"/>
  <c r="BC18" i="12"/>
  <c r="BC24" i="12"/>
  <c r="AE9" i="12"/>
  <c r="BC68" i="12"/>
  <c r="BC70" i="12"/>
  <c r="BC20" i="12"/>
  <c r="BC78" i="12"/>
  <c r="BC79" i="12"/>
  <c r="BC15" i="12"/>
  <c r="BC101" i="12"/>
  <c r="BC76" i="12"/>
  <c r="BC100" i="12"/>
  <c r="BC71" i="12"/>
  <c r="BC69" i="12"/>
  <c r="BC107" i="12"/>
  <c r="BC98" i="12"/>
  <c r="AE73" i="12"/>
  <c r="BC26" i="12"/>
  <c r="BC17" i="12"/>
  <c r="BC106" i="12"/>
  <c r="AE31" i="12"/>
  <c r="BC94" i="12"/>
  <c r="BA10" i="12"/>
  <c r="BC81" i="12"/>
  <c r="BC99" i="12"/>
  <c r="BC95" i="12"/>
  <c r="BC23" i="12"/>
  <c r="BC67" i="12"/>
  <c r="BC108" i="12"/>
  <c r="BC74" i="12"/>
  <c r="BC21" i="12"/>
  <c r="BA14" i="12" l="1"/>
  <c r="BB17" i="12"/>
  <c r="BD20" i="12"/>
  <c r="BA22" i="12"/>
  <c r="BB25" i="12"/>
  <c r="BA13" i="12"/>
  <c r="BB14" i="12"/>
  <c r="BD17" i="12"/>
  <c r="BA19" i="12"/>
  <c r="BB22" i="12"/>
  <c r="BD25" i="12"/>
  <c r="BA27" i="12"/>
  <c r="BD14" i="12"/>
  <c r="BA16" i="12"/>
  <c r="BB19" i="12"/>
  <c r="BD22" i="12"/>
  <c r="BA24" i="12"/>
  <c r="BB27" i="12"/>
  <c r="BB20" i="12"/>
  <c r="BB16" i="12"/>
  <c r="BD19" i="12"/>
  <c r="BA21" i="12"/>
  <c r="BB24" i="12"/>
  <c r="BD27" i="12"/>
  <c r="BD16" i="12"/>
  <c r="BA18" i="12"/>
  <c r="BB21" i="12"/>
  <c r="BD24" i="12"/>
  <c r="BA26" i="12"/>
  <c r="BD15" i="12"/>
  <c r="BD23" i="12"/>
  <c r="BB13" i="12"/>
  <c r="BA15" i="12"/>
  <c r="BB18" i="12"/>
  <c r="BD21" i="12"/>
  <c r="BA23" i="12"/>
  <c r="BB26" i="12"/>
  <c r="BA17" i="12"/>
  <c r="BA25" i="12"/>
  <c r="BB15" i="12"/>
  <c r="BD18" i="12"/>
  <c r="BA20" i="12"/>
  <c r="BB23" i="12"/>
  <c r="BD26" i="12"/>
  <c r="BD13" i="12"/>
  <c r="BB70" i="12"/>
  <c r="BD73" i="12"/>
  <c r="BA75" i="12"/>
  <c r="BB78" i="12"/>
  <c r="BD81" i="12"/>
  <c r="BD70" i="12"/>
  <c r="BA72" i="12"/>
  <c r="BB75" i="12"/>
  <c r="BD78" i="12"/>
  <c r="BA80" i="12"/>
  <c r="BA69" i="12"/>
  <c r="BB72" i="12"/>
  <c r="BD75" i="12"/>
  <c r="BA77" i="12"/>
  <c r="BB80" i="12"/>
  <c r="BB69" i="12"/>
  <c r="BD72" i="12"/>
  <c r="BA74" i="12"/>
  <c r="BB77" i="12"/>
  <c r="BD80" i="12"/>
  <c r="BD67" i="12"/>
  <c r="BD69" i="12"/>
  <c r="BA71" i="12"/>
  <c r="BB74" i="12"/>
  <c r="BD77" i="12"/>
  <c r="BA79" i="12"/>
  <c r="BB67" i="12"/>
  <c r="BD68" i="12"/>
  <c r="BA70" i="12"/>
  <c r="BB73" i="12"/>
  <c r="BD76" i="12"/>
  <c r="BA78" i="12"/>
  <c r="BA68" i="12"/>
  <c r="BB71" i="12"/>
  <c r="BD74" i="12"/>
  <c r="BA76" i="12"/>
  <c r="BB79" i="12"/>
  <c r="BA67" i="12"/>
  <c r="BB81" i="12"/>
  <c r="BB68" i="12"/>
  <c r="BD71" i="12"/>
  <c r="BA73" i="12"/>
  <c r="BB76" i="12"/>
  <c r="BD79" i="12"/>
  <c r="BA81" i="12"/>
  <c r="BD96" i="12"/>
  <c r="BA98" i="12"/>
  <c r="BB101" i="12"/>
  <c r="BD104" i="12"/>
  <c r="BA106" i="12"/>
  <c r="BB94" i="12"/>
  <c r="BA95" i="12"/>
  <c r="BB98" i="12"/>
  <c r="BD101" i="12"/>
  <c r="BA103" i="12"/>
  <c r="BB106" i="12"/>
  <c r="BA94" i="12"/>
  <c r="BD99" i="12"/>
  <c r="BB95" i="12"/>
  <c r="BD98" i="12"/>
  <c r="BA100" i="12"/>
  <c r="BB103" i="12"/>
  <c r="BD106" i="12"/>
  <c r="BA108" i="12"/>
  <c r="BA101" i="12"/>
  <c r="BD95" i="12"/>
  <c r="BA97" i="12"/>
  <c r="BB100" i="12"/>
  <c r="BD103" i="12"/>
  <c r="BA105" i="12"/>
  <c r="BB108" i="12"/>
  <c r="BB97" i="12"/>
  <c r="BD100" i="12"/>
  <c r="BA102" i="12"/>
  <c r="BB105" i="12"/>
  <c r="BD108" i="12"/>
  <c r="BB96" i="12"/>
  <c r="BB104" i="12"/>
  <c r="BD107" i="12"/>
  <c r="BD94" i="12"/>
  <c r="BD97" i="12"/>
  <c r="BA99" i="12"/>
  <c r="BB102" i="12"/>
  <c r="BD105" i="12"/>
  <c r="BA107" i="12"/>
  <c r="BA96" i="12"/>
  <c r="BB99" i="12"/>
  <c r="BD102" i="12"/>
  <c r="BA104" i="12"/>
  <c r="BB107" i="12"/>
  <c r="AR92" i="12"/>
  <c r="AT92" i="12" s="1"/>
  <c r="AR91" i="12"/>
  <c r="AT91" i="12" s="1"/>
  <c r="AR90" i="12"/>
  <c r="AT96" i="12"/>
  <c r="AS96" i="12"/>
  <c r="AR89" i="12"/>
  <c r="AT89" i="12" s="1"/>
  <c r="AR88" i="12"/>
  <c r="AR87" i="12"/>
  <c r="AR96" i="12"/>
  <c r="AO96" i="12"/>
  <c r="AP96" i="12" s="1"/>
  <c r="AQ96" i="12" s="1"/>
  <c r="AS91" i="12"/>
  <c r="AS92" i="12"/>
  <c r="AR60" i="12"/>
  <c r="AR64" i="12"/>
  <c r="AT64" i="12" s="1"/>
  <c r="AR61" i="12"/>
  <c r="AS62" i="12"/>
  <c r="AS63" i="12"/>
  <c r="AS64" i="12"/>
  <c r="AS65" i="12"/>
  <c r="AR10" i="12"/>
  <c r="AT10" i="12" s="1"/>
  <c r="AR11" i="12"/>
  <c r="AT11" i="12" s="1"/>
  <c r="AS15" i="12"/>
  <c r="AR7" i="12"/>
  <c r="AT7" i="12" s="1"/>
  <c r="AR9" i="12"/>
  <c r="AS9" i="12" s="1"/>
  <c r="AR8" i="12"/>
  <c r="AR6" i="12"/>
  <c r="AT15" i="12"/>
  <c r="AP15" i="12"/>
  <c r="AQ15" i="12" s="1"/>
  <c r="AT9" i="12"/>
  <c r="AS10" i="12"/>
  <c r="AS11" i="12"/>
  <c r="Q99" i="12"/>
  <c r="V99" i="12" s="1"/>
  <c r="AF84" i="12"/>
  <c r="AH84" i="12"/>
  <c r="AE78" i="12"/>
  <c r="V36" i="12"/>
  <c r="AH76" i="12"/>
  <c r="AC9" i="12"/>
  <c r="AI15" i="12" s="1"/>
  <c r="AX37" i="12"/>
  <c r="AZ37" i="12" s="1"/>
  <c r="AY42" i="12" s="1"/>
  <c r="AI42" i="12"/>
  <c r="AD42" i="12"/>
  <c r="AI21" i="12"/>
  <c r="Z100" i="12"/>
  <c r="Z97" i="12"/>
  <c r="Z99" i="12"/>
  <c r="AA103" i="12"/>
  <c r="AA100" i="12"/>
  <c r="AA106" i="12"/>
  <c r="AA105" i="12"/>
  <c r="Q78" i="12"/>
  <c r="V78" i="12" s="1"/>
  <c r="S79" i="12"/>
  <c r="AH82" i="12"/>
  <c r="AF78" i="12"/>
  <c r="AI78" i="12"/>
  <c r="AI84" i="12"/>
  <c r="AD84" i="12"/>
  <c r="AE84" i="12"/>
  <c r="AM43" i="12"/>
  <c r="AM42" i="12" s="1"/>
  <c r="AE85" i="12"/>
  <c r="AI85" i="12"/>
  <c r="Q14" i="12"/>
  <c r="V14" i="12" s="1"/>
  <c r="Z38" i="12"/>
  <c r="AA34" i="12"/>
  <c r="Z40" i="12"/>
  <c r="AI37" i="12"/>
  <c r="AA19" i="12"/>
  <c r="R36" i="12"/>
  <c r="R37" i="12" s="1"/>
  <c r="S37" i="12" s="1"/>
  <c r="AF40" i="12"/>
  <c r="AD43" i="12"/>
  <c r="AE43" i="12"/>
  <c r="Z39" i="12"/>
  <c r="AI43" i="12"/>
  <c r="Q58" i="12"/>
  <c r="Q57" i="12" s="1"/>
  <c r="R58" i="12"/>
  <c r="S58" i="12" s="1"/>
  <c r="V50" i="12" s="1"/>
  <c r="AH80" i="12"/>
  <c r="AD35" i="12"/>
  <c r="AC52" i="12"/>
  <c r="AD82" i="12"/>
  <c r="AE82" i="12"/>
  <c r="AF82" i="12"/>
  <c r="Z16" i="12"/>
  <c r="Z18" i="12"/>
  <c r="AA12" i="12"/>
  <c r="AE36" i="12"/>
  <c r="AI36" i="12"/>
  <c r="AA17" i="12"/>
  <c r="AC42" i="12"/>
  <c r="AC40" i="12"/>
  <c r="AH40" i="12" s="1"/>
  <c r="AC38" i="12"/>
  <c r="AH38" i="12" s="1"/>
  <c r="AC36" i="12"/>
  <c r="AH36" i="12" s="1"/>
  <c r="AC34" i="12"/>
  <c r="AH34" i="12" s="1"/>
  <c r="AC43" i="12"/>
  <c r="AH43" i="12" s="1"/>
  <c r="AC41" i="12"/>
  <c r="AH41" i="12" s="1"/>
  <c r="AC39" i="12"/>
  <c r="AH39" i="12" s="1"/>
  <c r="AC37" i="12"/>
  <c r="AC35" i="12"/>
  <c r="AB52" i="12"/>
  <c r="AD52" i="12" s="1"/>
  <c r="AI62" i="12" s="1"/>
  <c r="AH78" i="12"/>
  <c r="AI20" i="12"/>
  <c r="AA39" i="12"/>
  <c r="AF42" i="12"/>
  <c r="AD36" i="12"/>
  <c r="R57" i="12"/>
  <c r="AC85" i="12"/>
  <c r="AH85" i="12" s="1"/>
  <c r="AC83" i="12"/>
  <c r="AH83" i="12" s="1"/>
  <c r="AC81" i="12"/>
  <c r="AH81" i="12" s="1"/>
  <c r="AC79" i="12"/>
  <c r="AH79" i="12" s="1"/>
  <c r="AC77" i="12"/>
  <c r="AH77" i="12" s="1"/>
  <c r="Z98" i="12"/>
  <c r="AB17" i="12"/>
  <c r="AB19" i="12"/>
  <c r="AB39" i="12"/>
  <c r="AB41" i="12"/>
  <c r="AE37" i="12"/>
  <c r="AA59" i="12"/>
  <c r="AA61" i="12"/>
  <c r="AA63" i="12"/>
  <c r="AA81" i="12"/>
  <c r="AA83" i="12"/>
  <c r="AF79" i="12"/>
  <c r="AI77" i="12"/>
  <c r="AW40" i="12"/>
  <c r="AW42" i="12"/>
  <c r="AW44" i="12"/>
  <c r="AW46" i="12"/>
  <c r="AW48" i="12"/>
  <c r="AW50" i="12"/>
  <c r="AW52" i="12"/>
  <c r="AW54" i="12"/>
  <c r="AD37" i="12"/>
  <c r="AF35" i="12"/>
  <c r="AB55" i="12"/>
  <c r="AB57" i="12"/>
  <c r="AB59" i="12"/>
  <c r="AB63" i="12"/>
  <c r="AB81" i="12"/>
  <c r="AB83" i="12"/>
  <c r="AE79" i="12"/>
  <c r="AB94" i="12"/>
  <c r="AD94" i="12" s="1"/>
  <c r="AX40" i="12"/>
  <c r="AX42" i="12"/>
  <c r="AX44" i="12"/>
  <c r="AX46" i="12"/>
  <c r="AX48" i="12"/>
  <c r="AX50" i="12"/>
  <c r="AX52" i="12"/>
  <c r="S16" i="12"/>
  <c r="AF77" i="12"/>
  <c r="AC94" i="12"/>
  <c r="AN43" i="12"/>
  <c r="AA18" i="12"/>
  <c r="AA40" i="12"/>
  <c r="Z56" i="12"/>
  <c r="Z62" i="12"/>
  <c r="Z64" i="12"/>
  <c r="S80" i="12"/>
  <c r="Z76" i="12"/>
  <c r="Z80" i="12"/>
  <c r="Z82" i="12"/>
  <c r="Z84" i="12"/>
  <c r="AE77" i="12"/>
  <c r="Z103" i="12"/>
  <c r="AV41" i="12"/>
  <c r="AV45" i="12"/>
  <c r="AV49" i="12"/>
  <c r="AV51" i="12"/>
  <c r="AV53" i="12"/>
  <c r="AB12" i="12"/>
  <c r="AB16" i="12"/>
  <c r="AB34" i="12"/>
  <c r="AB38" i="12"/>
  <c r="AA58" i="12"/>
  <c r="AA60" i="12"/>
  <c r="AA82" i="12"/>
  <c r="AW41" i="12"/>
  <c r="AW43" i="12"/>
  <c r="AW51" i="12"/>
  <c r="AB56" i="12"/>
  <c r="AB76" i="12"/>
  <c r="AB80" i="12"/>
  <c r="S101" i="12"/>
  <c r="AB97" i="12"/>
  <c r="AX41" i="12"/>
  <c r="AX45" i="12"/>
  <c r="AX49" i="12"/>
  <c r="AC106" i="12"/>
  <c r="AC102" i="12"/>
  <c r="AC101" i="12"/>
  <c r="AC97" i="12"/>
  <c r="S100" i="12"/>
  <c r="W99" i="12" s="1"/>
  <c r="AB98" i="12"/>
  <c r="AB104" i="12"/>
  <c r="AB101" i="12"/>
  <c r="V74" i="12"/>
  <c r="W74" i="12"/>
  <c r="X74" i="12"/>
  <c r="S78" i="12"/>
  <c r="T78" i="12" s="1"/>
  <c r="U78" i="12" s="1"/>
  <c r="V51" i="12"/>
  <c r="X51" i="12" s="1"/>
  <c r="X57" i="12"/>
  <c r="W51" i="12"/>
  <c r="S57" i="12"/>
  <c r="T57" i="12" s="1"/>
  <c r="U57" i="12" s="1"/>
  <c r="V57" i="12"/>
  <c r="V29" i="12"/>
  <c r="X29" i="12" s="1"/>
  <c r="V30" i="12"/>
  <c r="X30" i="12" s="1"/>
  <c r="V31" i="12"/>
  <c r="X31" i="12" s="1"/>
  <c r="V32" i="12"/>
  <c r="X32" i="12" s="1"/>
  <c r="X36" i="12"/>
  <c r="W36" i="12"/>
  <c r="V28" i="12"/>
  <c r="X28" i="12" s="1"/>
  <c r="W29" i="12"/>
  <c r="W32" i="12"/>
  <c r="W31" i="12"/>
  <c r="V8" i="12"/>
  <c r="X8" i="12" s="1"/>
  <c r="V10" i="12"/>
  <c r="V6" i="12"/>
  <c r="W6" i="12" s="1"/>
  <c r="V7" i="12"/>
  <c r="X7" i="12" s="1"/>
  <c r="V9" i="12"/>
  <c r="X9" i="12" s="1"/>
  <c r="W14" i="12"/>
  <c r="X14" i="12"/>
  <c r="W7" i="12"/>
  <c r="W8" i="12"/>
  <c r="W9" i="12"/>
  <c r="S14" i="12"/>
  <c r="T14" i="12" s="1"/>
  <c r="U14" i="12" s="1"/>
  <c r="AG43" i="12"/>
  <c r="BA37" i="12"/>
  <c r="AG35" i="12"/>
  <c r="AG37" i="12"/>
  <c r="AG36" i="12"/>
  <c r="AG82" i="12"/>
  <c r="AE94" i="12"/>
  <c r="AE52" i="12"/>
  <c r="AG84" i="12"/>
  <c r="AG42" i="12"/>
  <c r="AT88" i="12" l="1"/>
  <c r="AS88" i="12"/>
  <c r="AT87" i="12"/>
  <c r="AS87" i="12"/>
  <c r="AS89" i="12"/>
  <c r="AT90" i="12"/>
  <c r="AS90" i="12"/>
  <c r="AT61" i="12"/>
  <c r="AS61" i="12"/>
  <c r="AS60" i="12"/>
  <c r="AT60" i="12"/>
  <c r="AO43" i="12"/>
  <c r="AR34" i="12" s="1"/>
  <c r="AS7" i="12"/>
  <c r="AT6" i="12"/>
  <c r="AS6" i="12"/>
  <c r="AT8" i="12"/>
  <c r="AS8" i="12"/>
  <c r="AT42" i="12"/>
  <c r="AY47" i="12"/>
  <c r="BB47" i="12" s="1"/>
  <c r="BE47" i="12"/>
  <c r="BE51" i="12"/>
  <c r="AY44" i="12"/>
  <c r="AZ44" i="12" s="1"/>
  <c r="AY48" i="12"/>
  <c r="AZ48" i="12" s="1"/>
  <c r="AC98" i="12"/>
  <c r="AI106" i="12"/>
  <c r="AC104" i="12"/>
  <c r="AH104" i="12" s="1"/>
  <c r="AC100" i="12"/>
  <c r="AI99" i="12"/>
  <c r="AC99" i="12"/>
  <c r="AH99" i="12" s="1"/>
  <c r="AI100" i="12"/>
  <c r="AI105" i="12"/>
  <c r="S99" i="12"/>
  <c r="T99" i="12" s="1"/>
  <c r="U99" i="12" s="1"/>
  <c r="AI97" i="12"/>
  <c r="AC103" i="12"/>
  <c r="AC105" i="12"/>
  <c r="AI103" i="12"/>
  <c r="AI102" i="12"/>
  <c r="BD42" i="12"/>
  <c r="X50" i="12"/>
  <c r="W50" i="12"/>
  <c r="BA47" i="12"/>
  <c r="AS34" i="12"/>
  <c r="AT34" i="12"/>
  <c r="V49" i="12"/>
  <c r="W49" i="12" s="1"/>
  <c r="AH101" i="12"/>
  <c r="BE41" i="12"/>
  <c r="AF34" i="12"/>
  <c r="AE34" i="12"/>
  <c r="AD34" i="12"/>
  <c r="AI34" i="12"/>
  <c r="BA44" i="12"/>
  <c r="BE44" i="12"/>
  <c r="AI63" i="12"/>
  <c r="AI64" i="12"/>
  <c r="AE35" i="12"/>
  <c r="AH35" i="12"/>
  <c r="AY50" i="12"/>
  <c r="BD50" i="12" s="1"/>
  <c r="AE40" i="12"/>
  <c r="S36" i="12"/>
  <c r="T36" i="12" s="1"/>
  <c r="U36" i="12" s="1"/>
  <c r="BE45" i="12"/>
  <c r="AF38" i="12"/>
  <c r="AD38" i="12"/>
  <c r="AE38" i="12"/>
  <c r="AI38" i="12"/>
  <c r="BE46" i="12"/>
  <c r="AI81" i="12"/>
  <c r="AD81" i="12"/>
  <c r="AE81" i="12"/>
  <c r="AF81" i="12"/>
  <c r="V73" i="12"/>
  <c r="V72" i="12"/>
  <c r="V70" i="12"/>
  <c r="V71" i="12"/>
  <c r="W30" i="12"/>
  <c r="W57" i="12"/>
  <c r="AD16" i="12"/>
  <c r="AE16" i="12"/>
  <c r="AI16" i="12"/>
  <c r="BE42" i="12"/>
  <c r="BA42" i="12"/>
  <c r="AZ42" i="12"/>
  <c r="BB42" i="12"/>
  <c r="AI59" i="12"/>
  <c r="AD59" i="12"/>
  <c r="AF59" i="12"/>
  <c r="AD79" i="12"/>
  <c r="AI60" i="12"/>
  <c r="AF37" i="12"/>
  <c r="AH37" i="12"/>
  <c r="AH42" i="12"/>
  <c r="AE42" i="12"/>
  <c r="AY52" i="12"/>
  <c r="BD52" i="12" s="1"/>
  <c r="AD40" i="12"/>
  <c r="AY51" i="12"/>
  <c r="X78" i="12"/>
  <c r="AI12" i="12"/>
  <c r="BE40" i="12"/>
  <c r="AI57" i="12"/>
  <c r="AD41" i="12"/>
  <c r="AE41" i="12"/>
  <c r="AF41" i="12"/>
  <c r="AI41" i="12"/>
  <c r="AY54" i="12"/>
  <c r="AY43" i="12"/>
  <c r="AI58" i="12"/>
  <c r="AI13" i="12"/>
  <c r="W28" i="12"/>
  <c r="V52" i="12"/>
  <c r="AS42" i="12"/>
  <c r="AI55" i="12"/>
  <c r="AD55" i="12"/>
  <c r="AF39" i="12"/>
  <c r="AI39" i="12"/>
  <c r="AD39" i="12"/>
  <c r="AE39" i="12"/>
  <c r="AY40" i="12"/>
  <c r="BD40" i="12" s="1"/>
  <c r="AI18" i="12"/>
  <c r="AY45" i="12"/>
  <c r="BD45" i="12" s="1"/>
  <c r="BE53" i="12"/>
  <c r="BE54" i="12"/>
  <c r="AD77" i="12"/>
  <c r="AY53" i="12"/>
  <c r="V53" i="12"/>
  <c r="AD80" i="12"/>
  <c r="AE80" i="12"/>
  <c r="AF80" i="12"/>
  <c r="AI80" i="12"/>
  <c r="BE52" i="12"/>
  <c r="AI14" i="12"/>
  <c r="AF36" i="12"/>
  <c r="AC63" i="12"/>
  <c r="AH63" i="12" s="1"/>
  <c r="AC61" i="12"/>
  <c r="AC59" i="12"/>
  <c r="AH59" i="12" s="1"/>
  <c r="AC57" i="12"/>
  <c r="AH57" i="12" s="1"/>
  <c r="AC55" i="12"/>
  <c r="AH55" i="12" s="1"/>
  <c r="AC64" i="12"/>
  <c r="AC62" i="12"/>
  <c r="AC60" i="12"/>
  <c r="AC58" i="12"/>
  <c r="AC56" i="12"/>
  <c r="AH56" i="12" s="1"/>
  <c r="AF43" i="12"/>
  <c r="AF85" i="12"/>
  <c r="AZ47" i="12"/>
  <c r="W78" i="12"/>
  <c r="AH105" i="12"/>
  <c r="AF76" i="12"/>
  <c r="AE76" i="12"/>
  <c r="AD76" i="12"/>
  <c r="AI76" i="12"/>
  <c r="BE50" i="12"/>
  <c r="BA50" i="12"/>
  <c r="AE19" i="12"/>
  <c r="AF19" i="12"/>
  <c r="AI19" i="12"/>
  <c r="AI61" i="12"/>
  <c r="AY41" i="12"/>
  <c r="BD41" i="12" s="1"/>
  <c r="AY49" i="12"/>
  <c r="BD49" i="12" s="1"/>
  <c r="AH98" i="12"/>
  <c r="BE49" i="12"/>
  <c r="AI56" i="12"/>
  <c r="BA48" i="12"/>
  <c r="BB48" i="12"/>
  <c r="BE48" i="12"/>
  <c r="AE83" i="12"/>
  <c r="AF83" i="12"/>
  <c r="AI83" i="12"/>
  <c r="AD83" i="12"/>
  <c r="AF17" i="12"/>
  <c r="AI17" i="12"/>
  <c r="AY46" i="12"/>
  <c r="BD46" i="12" s="1"/>
  <c r="AD85" i="12"/>
  <c r="BE43" i="12"/>
  <c r="AC20" i="12"/>
  <c r="AC18" i="12"/>
  <c r="AC16" i="12"/>
  <c r="AH16" i="12" s="1"/>
  <c r="AC14" i="12"/>
  <c r="AC12" i="12"/>
  <c r="AH12" i="12" s="1"/>
  <c r="AC17" i="12"/>
  <c r="AH17" i="12" s="1"/>
  <c r="AC13" i="12"/>
  <c r="AC19" i="12"/>
  <c r="AH19" i="12" s="1"/>
  <c r="AC21" i="12"/>
  <c r="AC15" i="12"/>
  <c r="AR42" i="12"/>
  <c r="AO42" i="12"/>
  <c r="AP42" i="12" s="1"/>
  <c r="AQ42" i="12" s="1"/>
  <c r="AF104" i="12"/>
  <c r="AI104" i="12"/>
  <c r="AD104" i="12"/>
  <c r="AE104" i="12"/>
  <c r="V93" i="12"/>
  <c r="V91" i="12"/>
  <c r="V92" i="12"/>
  <c r="X99" i="12"/>
  <c r="V95" i="12"/>
  <c r="AE97" i="12"/>
  <c r="AD97" i="12"/>
  <c r="AH97" i="12"/>
  <c r="AF97" i="12"/>
  <c r="AE102" i="12"/>
  <c r="AF102" i="12"/>
  <c r="AH102" i="12"/>
  <c r="AD102" i="12"/>
  <c r="AD106" i="12"/>
  <c r="AF106" i="12"/>
  <c r="AE106" i="12"/>
  <c r="AH106" i="12"/>
  <c r="AD98" i="12"/>
  <c r="AE98" i="12"/>
  <c r="AF98" i="12"/>
  <c r="AI98" i="12"/>
  <c r="AD100" i="12"/>
  <c r="AH100" i="12"/>
  <c r="AE100" i="12"/>
  <c r="AF100" i="12"/>
  <c r="AF105" i="12"/>
  <c r="V94" i="12"/>
  <c r="AE105" i="12"/>
  <c r="AD105" i="12"/>
  <c r="AE101" i="12"/>
  <c r="AF101" i="12"/>
  <c r="AI101" i="12"/>
  <c r="AD101" i="12"/>
  <c r="AE103" i="12"/>
  <c r="AD103" i="12"/>
  <c r="AF103" i="12"/>
  <c r="AH103" i="12"/>
  <c r="X49" i="12"/>
  <c r="W52" i="12"/>
  <c r="X52" i="12"/>
  <c r="X53" i="12"/>
  <c r="W53" i="12"/>
  <c r="X6" i="12"/>
  <c r="W10" i="12"/>
  <c r="X10" i="12"/>
  <c r="AG102" i="12"/>
  <c r="AG83" i="12"/>
  <c r="AG101" i="12"/>
  <c r="BC44" i="12"/>
  <c r="AG103" i="12"/>
  <c r="AG76" i="12"/>
  <c r="AG55" i="12"/>
  <c r="BC42" i="12"/>
  <c r="AG41" i="12"/>
  <c r="AG100" i="12"/>
  <c r="AG106" i="12"/>
  <c r="AG38" i="12"/>
  <c r="AG16" i="12"/>
  <c r="AG80" i="12"/>
  <c r="AG98" i="12"/>
  <c r="AG40" i="12"/>
  <c r="AG104" i="12"/>
  <c r="AG105" i="12"/>
  <c r="BC47" i="12"/>
  <c r="AG97" i="12"/>
  <c r="AG85" i="12"/>
  <c r="AG59" i="12"/>
  <c r="AG77" i="12"/>
  <c r="AG39" i="12"/>
  <c r="AG34" i="12"/>
  <c r="AG81" i="12"/>
  <c r="BC48" i="12"/>
  <c r="AG79" i="12"/>
  <c r="BD44" i="12" l="1"/>
  <c r="BD48" i="12"/>
  <c r="AR36" i="12"/>
  <c r="BD47" i="12"/>
  <c r="AR33" i="12"/>
  <c r="AR37" i="12"/>
  <c r="AR35" i="12"/>
  <c r="AT35" i="12" s="1"/>
  <c r="AZ50" i="12"/>
  <c r="BB44" i="12"/>
  <c r="AR38" i="12"/>
  <c r="BB49" i="12"/>
  <c r="AZ52" i="12"/>
  <c r="BB52" i="12"/>
  <c r="BA52" i="12"/>
  <c r="BA40" i="12"/>
  <c r="BB40" i="12"/>
  <c r="AS35" i="12"/>
  <c r="BA49" i="12"/>
  <c r="AZ49" i="12"/>
  <c r="AD99" i="12"/>
  <c r="AE99" i="12"/>
  <c r="AF99" i="12"/>
  <c r="AE17" i="12"/>
  <c r="AZ40" i="12"/>
  <c r="AZ46" i="12"/>
  <c r="AF63" i="12"/>
  <c r="AH15" i="12"/>
  <c r="AF15" i="12"/>
  <c r="AE15" i="12"/>
  <c r="AD15" i="12"/>
  <c r="AH18" i="12"/>
  <c r="AD18" i="12"/>
  <c r="AE18" i="12"/>
  <c r="AF18" i="12"/>
  <c r="AH61" i="12"/>
  <c r="AD61" i="12"/>
  <c r="AE61" i="12"/>
  <c r="AF61" i="12"/>
  <c r="AE63" i="12"/>
  <c r="BD51" i="12"/>
  <c r="AZ51" i="12"/>
  <c r="BA51" i="12"/>
  <c r="BB51" i="12"/>
  <c r="AD63" i="12"/>
  <c r="AH20" i="12"/>
  <c r="AF20" i="12"/>
  <c r="AE20" i="12"/>
  <c r="AD20" i="12"/>
  <c r="AF56" i="12"/>
  <c r="AD19" i="12"/>
  <c r="AH60" i="12"/>
  <c r="AD60" i="12"/>
  <c r="AE60" i="12"/>
  <c r="AF60" i="12"/>
  <c r="AE55" i="12"/>
  <c r="W71" i="12"/>
  <c r="X71" i="12"/>
  <c r="AH13" i="12"/>
  <c r="AF13" i="12"/>
  <c r="AE13" i="12"/>
  <c r="AD13" i="12"/>
  <c r="AE56" i="12"/>
  <c r="BB50" i="12"/>
  <c r="AH62" i="12"/>
  <c r="AD62" i="12"/>
  <c r="AE62" i="12"/>
  <c r="AF62" i="12"/>
  <c r="AF55" i="12"/>
  <c r="AF57" i="12"/>
  <c r="AD12" i="12"/>
  <c r="AE59" i="12"/>
  <c r="AF16" i="12"/>
  <c r="W70" i="12"/>
  <c r="X70" i="12"/>
  <c r="BB41" i="12"/>
  <c r="AH21" i="12"/>
  <c r="AF21" i="12"/>
  <c r="AE21" i="12"/>
  <c r="AD21" i="12"/>
  <c r="AH58" i="12"/>
  <c r="AD58" i="12"/>
  <c r="AE58" i="12"/>
  <c r="AF58" i="12"/>
  <c r="AD56" i="12"/>
  <c r="AH64" i="12"/>
  <c r="AE64" i="12"/>
  <c r="AF64" i="12"/>
  <c r="AD64" i="12"/>
  <c r="BD43" i="12"/>
  <c r="AZ43" i="12"/>
  <c r="BA43" i="12"/>
  <c r="BB43" i="12"/>
  <c r="AE57" i="12"/>
  <c r="AE12" i="12"/>
  <c r="X72" i="12"/>
  <c r="W72" i="12"/>
  <c r="BA45" i="12"/>
  <c r="BA41" i="12"/>
  <c r="BD54" i="12"/>
  <c r="AZ54" i="12"/>
  <c r="BA54" i="12"/>
  <c r="BB54" i="12"/>
  <c r="AD57" i="12"/>
  <c r="AF12" i="12"/>
  <c r="W73" i="12"/>
  <c r="X73" i="12"/>
  <c r="BB46" i="12"/>
  <c r="BB45" i="12"/>
  <c r="AZ41" i="12"/>
  <c r="AH14" i="12"/>
  <c r="AD14" i="12"/>
  <c r="AE14" i="12"/>
  <c r="AF14" i="12"/>
  <c r="AD17" i="12"/>
  <c r="BD53" i="12"/>
  <c r="BB53" i="12"/>
  <c r="AZ53" i="12"/>
  <c r="BA53" i="12"/>
  <c r="AS36" i="12"/>
  <c r="AT36" i="12"/>
  <c r="BA46" i="12"/>
  <c r="AZ45" i="12"/>
  <c r="X91" i="12"/>
  <c r="W91" i="12"/>
  <c r="X93" i="12"/>
  <c r="W93" i="12"/>
  <c r="X92" i="12"/>
  <c r="W92" i="12"/>
  <c r="X94" i="12"/>
  <c r="W94" i="12"/>
  <c r="W95" i="12"/>
  <c r="X95" i="12"/>
  <c r="AG12" i="12"/>
  <c r="BC51" i="12"/>
  <c r="AG61" i="12"/>
  <c r="AG19" i="12"/>
  <c r="BC52" i="12"/>
  <c r="AG63" i="12"/>
  <c r="AG20" i="12"/>
  <c r="BC54" i="12"/>
  <c r="BC43" i="12"/>
  <c r="AG13" i="12"/>
  <c r="AG15" i="12"/>
  <c r="AG56" i="12"/>
  <c r="AG57" i="12"/>
  <c r="AG21" i="12"/>
  <c r="AG64" i="12"/>
  <c r="BC40" i="12"/>
  <c r="AG62" i="12"/>
  <c r="BC46" i="12"/>
  <c r="BC45" i="12"/>
  <c r="AG99" i="12"/>
  <c r="BC50" i="12"/>
  <c r="AG18" i="12"/>
  <c r="BC53" i="12"/>
  <c r="BC41" i="12"/>
  <c r="AG58" i="12"/>
  <c r="AG17" i="12"/>
  <c r="BC49" i="12"/>
  <c r="AG60" i="12"/>
  <c r="AG14" i="12"/>
  <c r="AT37" i="12" l="1"/>
  <c r="AS37" i="12"/>
  <c r="AS33" i="12"/>
  <c r="AT33" i="12"/>
  <c r="AS38" i="12"/>
  <c r="AT38" i="12"/>
  <c r="C37" i="5" l="1"/>
  <c r="D37" i="5"/>
  <c r="E37" i="5"/>
  <c r="F37" i="5"/>
  <c r="G37" i="5"/>
  <c r="B37" i="5"/>
  <c r="B37" i="4"/>
  <c r="C37" i="2"/>
  <c r="D37" i="2"/>
  <c r="E37" i="2"/>
  <c r="F37" i="2"/>
  <c r="G37" i="2"/>
  <c r="B37" i="2"/>
  <c r="C37" i="1"/>
  <c r="D37" i="1"/>
  <c r="E37" i="1"/>
  <c r="F37" i="1"/>
  <c r="G37" i="1"/>
  <c r="B37" i="1"/>
  <c r="C37" i="3"/>
  <c r="D37" i="3"/>
  <c r="E37" i="3"/>
  <c r="F37" i="3"/>
  <c r="G37" i="3"/>
  <c r="B37" i="3"/>
  <c r="K42" i="8"/>
  <c r="P32" i="1"/>
  <c r="P21" i="1"/>
  <c r="Q21" i="1"/>
  <c r="R21" i="1"/>
  <c r="S21" i="1"/>
  <c r="T21" i="1"/>
  <c r="U21" i="1"/>
  <c r="P22" i="1"/>
  <c r="Q22" i="1"/>
  <c r="R22" i="1"/>
  <c r="S22" i="1"/>
  <c r="T22" i="1"/>
  <c r="U22" i="1"/>
  <c r="P23" i="1"/>
  <c r="Q23" i="1"/>
  <c r="R23" i="1"/>
  <c r="S23" i="1"/>
  <c r="T23" i="1"/>
  <c r="U23" i="1"/>
  <c r="P24" i="1"/>
  <c r="Q24" i="1"/>
  <c r="R24" i="1"/>
  <c r="S24" i="1"/>
  <c r="T24" i="1"/>
  <c r="U24" i="1"/>
  <c r="P25" i="1"/>
  <c r="Q25" i="1"/>
  <c r="R25" i="1"/>
  <c r="S25" i="1"/>
  <c r="T25" i="1"/>
  <c r="U25" i="1"/>
  <c r="P26" i="1"/>
  <c r="Q26" i="1"/>
  <c r="R26" i="1"/>
  <c r="S26" i="1"/>
  <c r="T26" i="1"/>
  <c r="U26" i="1"/>
  <c r="P27" i="1"/>
  <c r="Q27" i="1"/>
  <c r="R27" i="1"/>
  <c r="S27" i="1"/>
  <c r="T27" i="1"/>
  <c r="U27" i="1"/>
  <c r="P28" i="1"/>
  <c r="Q28" i="1"/>
  <c r="R28" i="1"/>
  <c r="S28" i="1"/>
  <c r="T28" i="1"/>
  <c r="U28" i="1"/>
  <c r="P29" i="1"/>
  <c r="Q29" i="1"/>
  <c r="R29" i="1"/>
  <c r="S29" i="1"/>
  <c r="T29" i="1"/>
  <c r="U29" i="1"/>
  <c r="P30" i="1"/>
  <c r="Q30" i="1"/>
  <c r="R30" i="1"/>
  <c r="S30" i="1"/>
  <c r="T30" i="1"/>
  <c r="U30" i="1"/>
  <c r="P31" i="1"/>
  <c r="Q31" i="1"/>
  <c r="R31" i="1"/>
  <c r="S31" i="1"/>
  <c r="T31" i="1"/>
  <c r="U31" i="1"/>
  <c r="Q32" i="1"/>
  <c r="R32" i="1"/>
  <c r="S32" i="1"/>
  <c r="T32" i="1"/>
  <c r="U32" i="1"/>
  <c r="P33" i="1"/>
  <c r="Q33" i="1"/>
  <c r="R33" i="1"/>
  <c r="S33" i="1"/>
  <c r="T33" i="1"/>
  <c r="U33" i="1"/>
  <c r="P34" i="1"/>
  <c r="Q34" i="1"/>
  <c r="R34" i="1"/>
  <c r="S34" i="1"/>
  <c r="T34" i="1"/>
  <c r="U34" i="1"/>
  <c r="Q20" i="1"/>
  <c r="R20" i="1"/>
  <c r="S20" i="1"/>
  <c r="T20" i="1"/>
  <c r="U20" i="1"/>
  <c r="P20" i="1"/>
  <c r="P4" i="1"/>
  <c r="Q4" i="1"/>
  <c r="R4" i="1"/>
  <c r="S4" i="1"/>
  <c r="T4" i="1"/>
  <c r="U4" i="1"/>
  <c r="P5" i="1"/>
  <c r="Q5" i="1"/>
  <c r="R5" i="1"/>
  <c r="S5" i="1"/>
  <c r="T5" i="1"/>
  <c r="U5" i="1"/>
  <c r="P6" i="1"/>
  <c r="Q6" i="1"/>
  <c r="R6" i="1"/>
  <c r="S6" i="1"/>
  <c r="T6" i="1"/>
  <c r="U6" i="1"/>
  <c r="P7" i="1"/>
  <c r="Q7" i="1"/>
  <c r="R7" i="1"/>
  <c r="S7" i="1"/>
  <c r="T7" i="1"/>
  <c r="U7" i="1"/>
  <c r="P8" i="1"/>
  <c r="Q8" i="1"/>
  <c r="R8" i="1"/>
  <c r="S8" i="1"/>
  <c r="T8" i="1"/>
  <c r="U8" i="1"/>
  <c r="P9" i="1"/>
  <c r="Q9" i="1"/>
  <c r="R9" i="1"/>
  <c r="S9" i="1"/>
  <c r="T9" i="1"/>
  <c r="U9" i="1"/>
  <c r="P10" i="1"/>
  <c r="Q10" i="1"/>
  <c r="R10" i="1"/>
  <c r="S10" i="1"/>
  <c r="T10" i="1"/>
  <c r="U10" i="1"/>
  <c r="P11" i="1"/>
  <c r="Q11" i="1"/>
  <c r="R11" i="1"/>
  <c r="S11" i="1"/>
  <c r="T11" i="1"/>
  <c r="U11" i="1"/>
  <c r="P12" i="1"/>
  <c r="Q12" i="1"/>
  <c r="R12" i="1"/>
  <c r="S12" i="1"/>
  <c r="T12" i="1"/>
  <c r="U12" i="1"/>
  <c r="P13" i="1"/>
  <c r="Q13" i="1"/>
  <c r="R13" i="1"/>
  <c r="S13" i="1"/>
  <c r="T13" i="1"/>
  <c r="U13" i="1"/>
  <c r="P14" i="1"/>
  <c r="Q14" i="1"/>
  <c r="R14" i="1"/>
  <c r="S14" i="1"/>
  <c r="T14" i="1"/>
  <c r="U14" i="1"/>
  <c r="P15" i="1"/>
  <c r="Q15" i="1"/>
  <c r="R15" i="1"/>
  <c r="S15" i="1"/>
  <c r="T15" i="1"/>
  <c r="U15" i="1"/>
  <c r="P16" i="1"/>
  <c r="Q16" i="1"/>
  <c r="R16" i="1"/>
  <c r="S16" i="1"/>
  <c r="T16" i="1"/>
  <c r="U16" i="1"/>
  <c r="P17" i="1"/>
  <c r="Q17" i="1"/>
  <c r="R17" i="1"/>
  <c r="S17" i="1"/>
  <c r="T17" i="1"/>
  <c r="U17" i="1"/>
  <c r="U3" i="1"/>
  <c r="T3" i="1"/>
  <c r="S3" i="1"/>
  <c r="R3" i="1"/>
  <c r="Q3" i="1"/>
  <c r="P3" i="1"/>
  <c r="I28" i="3"/>
  <c r="J28" i="3"/>
  <c r="K28" i="3"/>
  <c r="L28" i="3"/>
  <c r="M28" i="3"/>
  <c r="N28" i="3"/>
  <c r="N25" i="5"/>
  <c r="M25" i="5"/>
  <c r="L25" i="5"/>
  <c r="K25" i="5"/>
  <c r="J25" i="5"/>
  <c r="I25" i="5"/>
  <c r="N24" i="5"/>
  <c r="M24" i="5"/>
  <c r="L24" i="5"/>
  <c r="K24" i="5"/>
  <c r="J24" i="5"/>
  <c r="I24" i="5"/>
  <c r="N23" i="5"/>
  <c r="M23" i="5"/>
  <c r="L23" i="5"/>
  <c r="K23" i="5"/>
  <c r="J23" i="5"/>
  <c r="I23" i="5"/>
  <c r="N22" i="5"/>
  <c r="M22" i="5"/>
  <c r="L22" i="5"/>
  <c r="K22" i="5"/>
  <c r="J22" i="5"/>
  <c r="I22" i="5"/>
  <c r="I28" i="5" s="1"/>
  <c r="N21" i="5"/>
  <c r="N28" i="5" s="1"/>
  <c r="M21" i="5"/>
  <c r="M28" i="5" s="1"/>
  <c r="L21" i="5"/>
  <c r="L28" i="5" s="1"/>
  <c r="K21" i="5"/>
  <c r="K28" i="5" s="1"/>
  <c r="J21" i="5"/>
  <c r="J28" i="5" s="1"/>
  <c r="I21" i="5"/>
  <c r="I25" i="4"/>
  <c r="I24" i="4"/>
  <c r="N23" i="4"/>
  <c r="M23" i="4"/>
  <c r="I23" i="4"/>
  <c r="I22" i="4"/>
  <c r="I21" i="4"/>
  <c r="M24" i="3"/>
  <c r="N25" i="3"/>
  <c r="M25" i="3"/>
  <c r="L25" i="3"/>
  <c r="K25" i="3"/>
  <c r="J25" i="3"/>
  <c r="I25" i="3"/>
  <c r="N24" i="3"/>
  <c r="L24" i="3"/>
  <c r="K24" i="3"/>
  <c r="J24" i="3"/>
  <c r="I24" i="3"/>
  <c r="N23" i="3"/>
  <c r="M23" i="3"/>
  <c r="L23" i="3"/>
  <c r="K23" i="3"/>
  <c r="J23" i="3"/>
  <c r="I23" i="3"/>
  <c r="N22" i="3"/>
  <c r="M22" i="3"/>
  <c r="L22" i="3"/>
  <c r="K22" i="3"/>
  <c r="J22" i="3"/>
  <c r="I22" i="3"/>
  <c r="N21" i="3"/>
  <c r="M21" i="3"/>
  <c r="L21" i="3"/>
  <c r="K21" i="3"/>
  <c r="J21" i="3"/>
  <c r="I21" i="3"/>
  <c r="N25" i="2"/>
  <c r="M25" i="2"/>
  <c r="L25" i="2"/>
  <c r="K25" i="2"/>
  <c r="J25" i="2"/>
  <c r="I25" i="2"/>
  <c r="N24" i="2"/>
  <c r="M24" i="2"/>
  <c r="L24" i="2"/>
  <c r="K24" i="2"/>
  <c r="J24" i="2"/>
  <c r="I24" i="2"/>
  <c r="N23" i="2"/>
  <c r="M23" i="2"/>
  <c r="L23" i="2"/>
  <c r="K23" i="2"/>
  <c r="J23" i="2"/>
  <c r="I23" i="2"/>
  <c r="N22" i="2"/>
  <c r="M22" i="2"/>
  <c r="L22" i="2"/>
  <c r="L28" i="2" s="1"/>
  <c r="K22" i="2"/>
  <c r="K28" i="2" s="1"/>
  <c r="J22" i="2"/>
  <c r="J28" i="2" s="1"/>
  <c r="I22" i="2"/>
  <c r="I28" i="2" s="1"/>
  <c r="N21" i="2"/>
  <c r="N28" i="2" s="1"/>
  <c r="M21" i="2"/>
  <c r="M28" i="2" s="1"/>
  <c r="L21" i="2"/>
  <c r="K21" i="2"/>
  <c r="J21" i="2"/>
  <c r="I21" i="2"/>
  <c r="J28" i="1"/>
  <c r="K28" i="1"/>
  <c r="L28" i="1"/>
  <c r="M28" i="1"/>
  <c r="N28" i="1"/>
  <c r="I28" i="1"/>
  <c r="J25" i="1"/>
  <c r="K25" i="1"/>
  <c r="L25" i="1"/>
  <c r="M25" i="1"/>
  <c r="N25" i="1"/>
  <c r="J24" i="1"/>
  <c r="K24" i="1"/>
  <c r="L24" i="1"/>
  <c r="M24" i="1"/>
  <c r="N24" i="1"/>
  <c r="I25" i="1"/>
  <c r="I24" i="1"/>
  <c r="J23" i="1"/>
  <c r="K23" i="1"/>
  <c r="L23" i="1"/>
  <c r="M23" i="1"/>
  <c r="N23" i="1"/>
  <c r="I23" i="1"/>
  <c r="J22" i="1"/>
  <c r="K22" i="1"/>
  <c r="L22" i="1"/>
  <c r="M22" i="1"/>
  <c r="N22" i="1"/>
  <c r="I22" i="1"/>
  <c r="L21" i="1"/>
  <c r="K21" i="1"/>
  <c r="J21" i="1"/>
  <c r="M21" i="1"/>
  <c r="N21" i="1"/>
  <c r="I21" i="1"/>
  <c r="C21" i="2"/>
  <c r="G26" i="3"/>
  <c r="G35" i="5"/>
  <c r="F35" i="5"/>
  <c r="E35" i="5"/>
  <c r="D35" i="5"/>
  <c r="C35" i="5"/>
  <c r="G34" i="5"/>
  <c r="F34" i="5"/>
  <c r="E34" i="5"/>
  <c r="D34" i="5"/>
  <c r="C34" i="5"/>
  <c r="G33" i="5"/>
  <c r="F33" i="5"/>
  <c r="E33" i="5"/>
  <c r="D33" i="5"/>
  <c r="C33" i="5"/>
  <c r="G32" i="5"/>
  <c r="F32" i="5"/>
  <c r="E32" i="5"/>
  <c r="D32" i="5"/>
  <c r="C32" i="5"/>
  <c r="G31" i="5"/>
  <c r="F31" i="5"/>
  <c r="E31" i="5"/>
  <c r="D31" i="5"/>
  <c r="C31" i="5"/>
  <c r="G30" i="5"/>
  <c r="F30" i="5"/>
  <c r="E30" i="5"/>
  <c r="D30" i="5"/>
  <c r="C30" i="5"/>
  <c r="G29" i="5"/>
  <c r="F29" i="5"/>
  <c r="E29" i="5"/>
  <c r="D29" i="5"/>
  <c r="C29" i="5"/>
  <c r="G28" i="5"/>
  <c r="F28" i="5"/>
  <c r="E28" i="5"/>
  <c r="D28" i="5"/>
  <c r="C28" i="5"/>
  <c r="G27" i="5"/>
  <c r="F27" i="5"/>
  <c r="E27" i="5"/>
  <c r="D27" i="5"/>
  <c r="C27" i="5"/>
  <c r="G26" i="5"/>
  <c r="F26" i="5"/>
  <c r="E26" i="5"/>
  <c r="D26" i="5"/>
  <c r="C26" i="5"/>
  <c r="G25" i="5"/>
  <c r="F25" i="5"/>
  <c r="E25" i="5"/>
  <c r="D25" i="5"/>
  <c r="C25" i="5"/>
  <c r="G24" i="5"/>
  <c r="F24" i="5"/>
  <c r="E24" i="5"/>
  <c r="D24" i="5"/>
  <c r="C24" i="5"/>
  <c r="G23" i="5"/>
  <c r="F23" i="5"/>
  <c r="E23" i="5"/>
  <c r="D23" i="5"/>
  <c r="C23" i="5"/>
  <c r="G22" i="5"/>
  <c r="F22" i="5"/>
  <c r="E22" i="5"/>
  <c r="D22" i="5"/>
  <c r="C22" i="5"/>
  <c r="G21" i="5"/>
  <c r="F21" i="5"/>
  <c r="E21" i="5"/>
  <c r="D21" i="5"/>
  <c r="C21" i="5"/>
  <c r="G35" i="4"/>
  <c r="F35" i="4"/>
  <c r="E35" i="4"/>
  <c r="D35" i="4"/>
  <c r="C35" i="4"/>
  <c r="G34" i="4"/>
  <c r="F34" i="4"/>
  <c r="E34" i="4"/>
  <c r="L25" i="4" s="1"/>
  <c r="D34" i="4"/>
  <c r="K25" i="4" s="1"/>
  <c r="C34" i="4"/>
  <c r="J25" i="4" s="1"/>
  <c r="G33" i="4"/>
  <c r="N25" i="4" s="1"/>
  <c r="F33" i="4"/>
  <c r="M25" i="4" s="1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J24" i="4" s="1"/>
  <c r="G30" i="4"/>
  <c r="N24" i="4" s="1"/>
  <c r="F30" i="4"/>
  <c r="M24" i="4" s="1"/>
  <c r="E30" i="4"/>
  <c r="L24" i="4" s="1"/>
  <c r="D30" i="4"/>
  <c r="K24" i="4" s="1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L23" i="4" s="1"/>
  <c r="D27" i="4"/>
  <c r="K23" i="4" s="1"/>
  <c r="C27" i="4"/>
  <c r="J23" i="4" s="1"/>
  <c r="G26" i="4"/>
  <c r="F26" i="4"/>
  <c r="E26" i="4"/>
  <c r="D26" i="4"/>
  <c r="C26" i="4"/>
  <c r="G25" i="4"/>
  <c r="F25" i="4"/>
  <c r="E25" i="4"/>
  <c r="D25" i="4"/>
  <c r="C25" i="4"/>
  <c r="G24" i="4"/>
  <c r="N22" i="4" s="1"/>
  <c r="F24" i="4"/>
  <c r="M22" i="4" s="1"/>
  <c r="E24" i="4"/>
  <c r="L22" i="4" s="1"/>
  <c r="D24" i="4"/>
  <c r="K22" i="4" s="1"/>
  <c r="C24" i="4"/>
  <c r="J22" i="4" s="1"/>
  <c r="G23" i="4"/>
  <c r="F23" i="4"/>
  <c r="E23" i="4"/>
  <c r="D23" i="4"/>
  <c r="C23" i="4"/>
  <c r="G22" i="4"/>
  <c r="G37" i="4" s="1"/>
  <c r="F22" i="4"/>
  <c r="E22" i="4"/>
  <c r="D22" i="4"/>
  <c r="C22" i="4"/>
  <c r="G21" i="4"/>
  <c r="N21" i="4" s="1"/>
  <c r="N28" i="4" s="1"/>
  <c r="F21" i="4"/>
  <c r="F37" i="4" s="1"/>
  <c r="E21" i="4"/>
  <c r="E37" i="4" s="1"/>
  <c r="D21" i="4"/>
  <c r="K21" i="4" s="1"/>
  <c r="C21" i="4"/>
  <c r="C37" i="4" s="1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D21" i="1"/>
  <c r="E21" i="1"/>
  <c r="F21" i="1"/>
  <c r="G21" i="1"/>
  <c r="L28" i="4" l="1"/>
  <c r="K28" i="4"/>
  <c r="J21" i="4"/>
  <c r="J28" i="4" s="1"/>
  <c r="L21" i="4"/>
  <c r="M21" i="4"/>
  <c r="D37" i="4"/>
  <c r="I28" i="4"/>
  <c r="M28" i="4"/>
</calcChain>
</file>

<file path=xl/sharedStrings.xml><?xml version="1.0" encoding="utf-8"?>
<sst xmlns="http://schemas.openxmlformats.org/spreadsheetml/2006/main" count="2035" uniqueCount="211">
  <si>
    <t>brlA</t>
  </si>
  <si>
    <t>His</t>
  </si>
  <si>
    <t/>
  </si>
  <si>
    <t>F4T0_His</t>
  </si>
  <si>
    <t>F4T1_His</t>
  </si>
  <si>
    <t>F4T2_His</t>
  </si>
  <si>
    <t>F4T3_His</t>
  </si>
  <si>
    <t>F4T4_His</t>
  </si>
  <si>
    <t>F4T5_His</t>
  </si>
  <si>
    <t>F5T0_His</t>
  </si>
  <si>
    <t>F5T1_His</t>
  </si>
  <si>
    <t>F5T2_His</t>
  </si>
  <si>
    <t>F5T3_His</t>
  </si>
  <si>
    <t>F5T4_His</t>
  </si>
  <si>
    <t>F5T5_His</t>
  </si>
  <si>
    <t>F4T0_brlA</t>
  </si>
  <si>
    <t>F4T1_brlA</t>
  </si>
  <si>
    <t>F4T2_brlA</t>
  </si>
  <si>
    <t>F4T3_brlA</t>
  </si>
  <si>
    <t>F4T4_brlA</t>
  </si>
  <si>
    <t>F4T5_brlA</t>
  </si>
  <si>
    <t>F5T0_brlA</t>
  </si>
  <si>
    <t>F5T1_brlA</t>
  </si>
  <si>
    <t>F5T2_brlA</t>
  </si>
  <si>
    <t>F5T3_brlA</t>
  </si>
  <si>
    <t>F5T4_brlA</t>
  </si>
  <si>
    <t>F5T5_brlA</t>
  </si>
  <si>
    <t>F3T3_His</t>
  </si>
  <si>
    <t>F3T4_His</t>
  </si>
  <si>
    <t>F3T5_His</t>
  </si>
  <si>
    <t>Empty</t>
  </si>
  <si>
    <t>F3T3_brlA</t>
  </si>
  <si>
    <t>F3T4_brlA</t>
  </si>
  <si>
    <t>F3T5_brlA</t>
  </si>
  <si>
    <t>F1T1</t>
  </si>
  <si>
    <t>F1T2</t>
  </si>
  <si>
    <t>F1T3</t>
  </si>
  <si>
    <t>F2T1</t>
  </si>
  <si>
    <t>F2T2</t>
  </si>
  <si>
    <t>F2T3</t>
  </si>
  <si>
    <t>F3T1</t>
  </si>
  <si>
    <t>F3T2</t>
  </si>
  <si>
    <t>F3T3</t>
  </si>
  <si>
    <t>F4T1</t>
  </si>
  <si>
    <t>F4T2</t>
  </si>
  <si>
    <t>F4T3</t>
  </si>
  <si>
    <t>F5T1</t>
  </si>
  <si>
    <t>F5T2</t>
  </si>
  <si>
    <t>F5T3</t>
  </si>
  <si>
    <t>F1R1</t>
  </si>
  <si>
    <t>F1R2</t>
  </si>
  <si>
    <t>F1R3</t>
  </si>
  <si>
    <t>F2R1</t>
  </si>
  <si>
    <t>F2R2</t>
  </si>
  <si>
    <t>F2R3</t>
  </si>
  <si>
    <t>F3R1</t>
  </si>
  <si>
    <t>F3R2</t>
  </si>
  <si>
    <t>F3R3</t>
  </si>
  <si>
    <t>F4R1</t>
  </si>
  <si>
    <t>F4R2</t>
  </si>
  <si>
    <t>F4R3</t>
  </si>
  <si>
    <t>F5R1</t>
  </si>
  <si>
    <t>F5R2</t>
  </si>
  <si>
    <t>F5R3</t>
  </si>
  <si>
    <t>Redo</t>
  </si>
  <si>
    <t>F1T0</t>
  </si>
  <si>
    <t>F1T5</t>
  </si>
  <si>
    <t>F2T0</t>
  </si>
  <si>
    <t>F3T0</t>
  </si>
  <si>
    <t>F4T0</t>
  </si>
  <si>
    <t>302B</t>
  </si>
  <si>
    <t>342B</t>
  </si>
  <si>
    <t>502H</t>
  </si>
  <si>
    <t>352B</t>
  </si>
  <si>
    <t>322B</t>
  </si>
  <si>
    <t>331B</t>
  </si>
  <si>
    <t>301B</t>
  </si>
  <si>
    <t>330B</t>
  </si>
  <si>
    <t>F1T4</t>
  </si>
  <si>
    <t>F2T4</t>
  </si>
  <si>
    <t>F3T4</t>
  </si>
  <si>
    <t>F4T4</t>
  </si>
  <si>
    <t>F2T5</t>
  </si>
  <si>
    <t>F3T5</t>
  </si>
  <si>
    <t>F4T5</t>
  </si>
  <si>
    <t>341B</t>
  </si>
  <si>
    <t>351B</t>
  </si>
  <si>
    <t>311B</t>
  </si>
  <si>
    <t>100B</t>
  </si>
  <si>
    <t>300B</t>
  </si>
  <si>
    <t>320B</t>
  </si>
  <si>
    <t>F5T0</t>
  </si>
  <si>
    <t>F5T4</t>
  </si>
  <si>
    <t>F5T5</t>
  </si>
  <si>
    <t>103B</t>
  </si>
  <si>
    <t>323H</t>
  </si>
  <si>
    <t>123B</t>
  </si>
  <si>
    <t>Sample 2?</t>
  </si>
  <si>
    <t>F1</t>
  </si>
  <si>
    <t>F2</t>
  </si>
  <si>
    <t>F3</t>
  </si>
  <si>
    <t>F4</t>
  </si>
  <si>
    <t>F5</t>
  </si>
  <si>
    <t>Mica1</t>
  </si>
  <si>
    <t>Mica0</t>
  </si>
  <si>
    <t>Mica2</t>
  </si>
  <si>
    <t>Mica3</t>
  </si>
  <si>
    <t>Mica4</t>
  </si>
  <si>
    <t>delta ct</t>
  </si>
  <si>
    <t>deltadeltact</t>
  </si>
  <si>
    <t>Time (min)</t>
  </si>
  <si>
    <t>Micafungin Concentrations</t>
  </si>
  <si>
    <t>Mica0 = 0 ng/mL</t>
  </si>
  <si>
    <t>Mica1 = 5 ng/mL</t>
  </si>
  <si>
    <t>Mica2 = 10 ng/mL</t>
  </si>
  <si>
    <t>Mica3 = 15 ng/mL</t>
  </si>
  <si>
    <t>Mica4 = 20 ng/mL</t>
  </si>
  <si>
    <t>Flask Averages</t>
  </si>
  <si>
    <t>Output (Ytrain cells)</t>
  </si>
  <si>
    <t>Input (Put time and full line of micafungin concentrations into one cell)</t>
  </si>
  <si>
    <t>All Bio and Tech Reps Averaged</t>
  </si>
  <si>
    <t>Standard Deviations of All Bio Reps</t>
  </si>
  <si>
    <t>Average of All Time Courses</t>
  </si>
  <si>
    <r>
      <t xml:space="preserve">F1R1 = </t>
    </r>
    <r>
      <rPr>
        <b/>
        <u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lask</t>
    </r>
    <r>
      <rPr>
        <sz val="11"/>
        <color theme="1"/>
        <rFont val="Calibri"/>
        <family val="2"/>
        <scheme val="minor"/>
      </rPr>
      <t xml:space="preserve"> (Bio Rep) #1, </t>
    </r>
    <r>
      <rPr>
        <b/>
        <u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eplicate</t>
    </r>
    <r>
      <rPr>
        <sz val="11"/>
        <color theme="1"/>
        <rFont val="Calibri"/>
        <family val="2"/>
        <scheme val="minor"/>
      </rPr>
      <t xml:space="preserve"> (Technical Rep) #1.</t>
    </r>
  </si>
  <si>
    <t>Notation:</t>
  </si>
  <si>
    <t>Errors bars on all graphs are standard deviation taken over all bio reps and technical reps for a specific time point.</t>
  </si>
  <si>
    <t>0 ng/mL</t>
  </si>
  <si>
    <t>5 ng/mL</t>
  </si>
  <si>
    <t>10 ng/mL</t>
  </si>
  <si>
    <t>15 ng/mL</t>
  </si>
  <si>
    <t>20 ng/mL</t>
  </si>
  <si>
    <t>10 min</t>
  </si>
  <si>
    <t>20 min</t>
  </si>
  <si>
    <t>30 min</t>
  </si>
  <si>
    <t>60 min</t>
  </si>
  <si>
    <t>90 min</t>
  </si>
  <si>
    <t>ANOVA: Single Factor</t>
  </si>
  <si>
    <t>DESCRIPTION</t>
  </si>
  <si>
    <t>Alpha</t>
  </si>
  <si>
    <t>Group</t>
  </si>
  <si>
    <t>Count</t>
  </si>
  <si>
    <t>Sum</t>
  </si>
  <si>
    <t>Mean</t>
  </si>
  <si>
    <t>Variance</t>
  </si>
  <si>
    <t>SS</t>
  </si>
  <si>
    <t>Std Err</t>
  </si>
  <si>
    <t>Lower</t>
  </si>
  <si>
    <t>Upper</t>
  </si>
  <si>
    <t>ANOVA</t>
  </si>
  <si>
    <t>Sources</t>
  </si>
  <si>
    <t>df</t>
  </si>
  <si>
    <t>MS</t>
  </si>
  <si>
    <t>F</t>
  </si>
  <si>
    <t>P value</t>
  </si>
  <si>
    <t>Eta-sq</t>
  </si>
  <si>
    <t>RMSSE</t>
  </si>
  <si>
    <t>Omega Sq</t>
  </si>
  <si>
    <t>Between Groups</t>
  </si>
  <si>
    <t>Within Groups</t>
  </si>
  <si>
    <t>Total</t>
  </si>
  <si>
    <t>TUKEY HSD/KRAMER</t>
  </si>
  <si>
    <t>alpha</t>
  </si>
  <si>
    <t>group</t>
  </si>
  <si>
    <t>mean</t>
  </si>
  <si>
    <t>n</t>
  </si>
  <si>
    <t>ss</t>
  </si>
  <si>
    <t>q-crit</t>
  </si>
  <si>
    <t>Q TEST</t>
  </si>
  <si>
    <t>group 1</t>
  </si>
  <si>
    <t>group 2</t>
  </si>
  <si>
    <t>std err</t>
  </si>
  <si>
    <t>q-stat</t>
  </si>
  <si>
    <t>lower</t>
  </si>
  <si>
    <t>upper</t>
  </si>
  <si>
    <t>p-value</t>
  </si>
  <si>
    <t>mean-crit</t>
  </si>
  <si>
    <t>Cohen d</t>
  </si>
  <si>
    <t>ANOVA: 10 minutes</t>
  </si>
  <si>
    <t>ANOVA: 20 minutes</t>
  </si>
  <si>
    <t>ANOVA: 30 minutes</t>
  </si>
  <si>
    <t>ANOVA: 60 minutes</t>
  </si>
  <si>
    <t>ANOVA: 90 minutes</t>
  </si>
  <si>
    <t>ANOVA: 90 minutes without outlier</t>
  </si>
  <si>
    <t>ANOVA: 10 ng/mL</t>
  </si>
  <si>
    <t>ANOVA: 5 ng/mL</t>
  </si>
  <si>
    <t>ANOVA: 15 ng/mL</t>
  </si>
  <si>
    <t>R^2</t>
  </si>
  <si>
    <t>500 Epochs</t>
  </si>
  <si>
    <t>1000 Epochs</t>
  </si>
  <si>
    <t>1500 Epochs</t>
  </si>
  <si>
    <t>RMSE</t>
  </si>
  <si>
    <t>Raw Data</t>
  </si>
  <si>
    <t>5 ng/mL Interpolated</t>
  </si>
  <si>
    <t>10 ng/mL Interpolated</t>
  </si>
  <si>
    <t>15 ng/mL Interpolated</t>
  </si>
  <si>
    <t>5 ng/mL (Interp)</t>
  </si>
  <si>
    <t>10 ng/mL (Interp)</t>
  </si>
  <si>
    <t>15 ng/mL (Interp)</t>
  </si>
  <si>
    <t>5 ng/mL (True)</t>
  </si>
  <si>
    <t>10 ng/mL (True)</t>
  </si>
  <si>
    <t>15 ng/mL (True)</t>
  </si>
  <si>
    <t>R-Squared</t>
  </si>
  <si>
    <t>5-fold Cross Validation: Saturation Kinetics w/ Inhibition</t>
  </si>
  <si>
    <t>Fold 1</t>
  </si>
  <si>
    <t>Fold 2</t>
  </si>
  <si>
    <t>Fold 3</t>
  </si>
  <si>
    <t>Fold 4</t>
  </si>
  <si>
    <t>Fold 5</t>
  </si>
  <si>
    <t>Average</t>
  </si>
  <si>
    <t>5-fold Cross Validation: Saturation Kinetics w/o Inhibition</t>
  </si>
  <si>
    <t>All data included for training, then fit to data assessed.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</si>
</sst>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.00;\-###0.00"/>
    <numFmt numFmtId="165" formatCode="0.000_);\(0.000\)"/>
    <numFmt numFmtId="166" formatCode="0.000000000000_);\(0.000000000000\)"/>
    <numFmt numFmtId="167" formatCode="0.0000000000000_);\(0.0000000000000\)"/>
    <numFmt numFmtId="168" formatCode="0.0000"/>
    <numFmt numFmtId="169" formatCode="0.000"/>
  </numFmts>
  <fonts count="9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8"/>
      <name val="Calibri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0" fontId="3" fillId="0" borderId="0">
      <alignment vertical="top"/>
      <protection locked="0"/>
    </xf>
  </cellStyleXfs>
  <cellXfs count="52">
    <xf numFmtId="0" fontId="0" fillId="0" borderId="0" xfId="0"/>
    <xf numFmtId="0" fontId="0" fillId="0" borderId="1" xfId="0" applyBorder="1"/>
    <xf numFmtId="0" fontId="1" fillId="0" borderId="0" xfId="1">
      <alignment vertical="top"/>
      <protection locked="0"/>
    </xf>
    <xf numFmtId="49" fontId="1" fillId="0" borderId="0" xfId="1" applyNumberFormat="1" applyAlignment="1" applyProtection="1">
      <alignment vertical="center"/>
    </xf>
    <xf numFmtId="164" fontId="1" fillId="0" borderId="0" xfId="1" applyNumberFormat="1" applyAlignment="1" applyProtection="1">
      <alignment vertical="center"/>
    </xf>
    <xf numFmtId="165" fontId="0" fillId="0" borderId="0" xfId="0" applyNumberFormat="1"/>
    <xf numFmtId="165" fontId="0" fillId="0" borderId="1" xfId="0" applyNumberFormat="1" applyBorder="1"/>
    <xf numFmtId="164" fontId="1" fillId="0" borderId="1" xfId="1" applyNumberFormat="1" applyBorder="1" applyAlignment="1" applyProtection="1">
      <alignment vertical="center"/>
    </xf>
    <xf numFmtId="0" fontId="0" fillId="0" borderId="2" xfId="0" applyBorder="1"/>
    <xf numFmtId="0" fontId="3" fillId="0" borderId="0" xfId="2">
      <alignment vertical="top"/>
      <protection locked="0"/>
    </xf>
    <xf numFmtId="49" fontId="3" fillId="0" borderId="0" xfId="2" applyNumberFormat="1" applyAlignment="1" applyProtection="1">
      <alignment vertical="center"/>
    </xf>
    <xf numFmtId="164" fontId="3" fillId="0" borderId="0" xfId="2" applyNumberFormat="1" applyAlignment="1" applyProtection="1">
      <alignment vertical="center"/>
    </xf>
    <xf numFmtId="164" fontId="3" fillId="0" borderId="1" xfId="2" applyNumberFormat="1" applyBorder="1" applyAlignment="1" applyProtection="1">
      <alignment vertic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64" fontId="1" fillId="0" borderId="3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5" fillId="0" borderId="0" xfId="1" applyFont="1" applyAlignment="1" applyProtection="1">
      <alignment vertical="center"/>
    </xf>
    <xf numFmtId="0" fontId="4" fillId="0" borderId="1" xfId="0" applyFont="1" applyBorder="1"/>
    <xf numFmtId="164" fontId="5" fillId="0" borderId="0" xfId="1" applyNumberFormat="1" applyFont="1" applyAlignment="1" applyProtection="1">
      <alignment vertical="center"/>
    </xf>
    <xf numFmtId="166" fontId="0" fillId="0" borderId="0" xfId="0" applyNumberFormat="1"/>
    <xf numFmtId="167" fontId="1" fillId="0" borderId="0" xfId="1" applyNumberFormat="1" applyAlignment="1" applyProtection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0" xfId="0" applyFill="1"/>
    <xf numFmtId="0" fontId="0" fillId="0" borderId="0" xfId="0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5" xfId="0" applyBorder="1"/>
    <xf numFmtId="0" fontId="8" fillId="0" borderId="16" xfId="0" applyFont="1" applyBorder="1" applyAlignment="1">
      <alignment horizontal="center"/>
    </xf>
    <xf numFmtId="0" fontId="0" fillId="0" borderId="17" xfId="0" applyBorder="1"/>
    <xf numFmtId="0" fontId="8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168" fontId="0" fillId="0" borderId="0" xfId="0" applyNumberFormat="1"/>
    <xf numFmtId="169" fontId="0" fillId="0" borderId="0" xfId="0" applyNumberFormat="1"/>
    <xf numFmtId="169" fontId="0" fillId="2" borderId="0" xfId="0" applyNumberFormat="1" applyFill="1"/>
    <xf numFmtId="169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B9845106-4103-4AE0-8472-E6FB0744C8F1}"/>
    <cellStyle name="Normal 3" xfId="2" xr:uid="{0EF0F245-1A13-49CE-B082-CB7DFD40A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Mica0!$H$21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Mica0!$I$20:$N$20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Mica0!$I$21:$N$21</c:f>
              <c:numCache>
                <c:formatCode>0.000_);\(0.000\)</c:formatCode>
                <c:ptCount val="6"/>
                <c:pt idx="0">
                  <c:v>1</c:v>
                </c:pt>
                <c:pt idx="1">
                  <c:v>0.25605940778426445</c:v>
                </c:pt>
                <c:pt idx="2">
                  <c:v>0.39871069076682392</c:v>
                </c:pt>
                <c:pt idx="3">
                  <c:v>0.34254262808726327</c:v>
                </c:pt>
                <c:pt idx="4">
                  <c:v>0.42645187344644908</c:v>
                </c:pt>
                <c:pt idx="5">
                  <c:v>0.63972831708851541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B-4269-9356-83DAC26B5C93}"/>
            </c:ext>
          </c:extLst>
        </c:ser>
        <c:ser>
          <c:idx val="1"/>
          <c:order val="1"/>
          <c:tx>
            <c:strRef>
              <c:f>Mica0!$H$22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Mica0!$I$20:$N$20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Mica0!$I$22:$N$22</c:f>
              <c:numCache>
                <c:formatCode>0.000_);\(0.000\)</c:formatCode>
                <c:ptCount val="6"/>
                <c:pt idx="0">
                  <c:v>1</c:v>
                </c:pt>
                <c:pt idx="1">
                  <c:v>1.0991529795405517</c:v>
                </c:pt>
                <c:pt idx="2">
                  <c:v>2.7583172710291084</c:v>
                </c:pt>
                <c:pt idx="3">
                  <c:v>2.2372412971692368</c:v>
                </c:pt>
                <c:pt idx="4">
                  <c:v>3.3201164314076443</c:v>
                </c:pt>
                <c:pt idx="5">
                  <c:v>4.907188384981624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DB-4269-9356-83DAC26B5C93}"/>
            </c:ext>
          </c:extLst>
        </c:ser>
        <c:ser>
          <c:idx val="2"/>
          <c:order val="2"/>
          <c:tx>
            <c:strRef>
              <c:f>Mica0!$H$23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Mica0!$I$20:$N$20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Mica0!$I$23:$N$23</c:f>
              <c:numCache>
                <c:formatCode>0.000_);\(0.000\)</c:formatCode>
                <c:ptCount val="6"/>
                <c:pt idx="0">
                  <c:v>1</c:v>
                </c:pt>
                <c:pt idx="1">
                  <c:v>0.54815586982748954</c:v>
                </c:pt>
                <c:pt idx="2">
                  <c:v>0.5490222619833266</c:v>
                </c:pt>
                <c:pt idx="3">
                  <c:v>0.30403491494067758</c:v>
                </c:pt>
                <c:pt idx="4">
                  <c:v>1.221645126682614</c:v>
                </c:pt>
                <c:pt idx="5">
                  <c:v>1.2924156085071772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DB-4269-9356-83DAC26B5C93}"/>
            </c:ext>
          </c:extLst>
        </c:ser>
        <c:ser>
          <c:idx val="3"/>
          <c:order val="3"/>
          <c:tx>
            <c:strRef>
              <c:f>Mica0!$H$24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Mica0!$I$20:$N$20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Mica0!$I$24:$N$24</c:f>
              <c:numCache>
                <c:formatCode>0.000_);\(0.000\)</c:formatCode>
                <c:ptCount val="6"/>
                <c:pt idx="0">
                  <c:v>1</c:v>
                </c:pt>
                <c:pt idx="1">
                  <c:v>1.5612622677734294</c:v>
                </c:pt>
                <c:pt idx="2">
                  <c:v>1.1299284313176898</c:v>
                </c:pt>
                <c:pt idx="3">
                  <c:v>1.3649222536086532</c:v>
                </c:pt>
                <c:pt idx="4">
                  <c:v>1.9228364374481011</c:v>
                </c:pt>
                <c:pt idx="5">
                  <c:v>5.0800341777798286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DB-4269-9356-83DAC26B5C93}"/>
            </c:ext>
          </c:extLst>
        </c:ser>
        <c:ser>
          <c:idx val="4"/>
          <c:order val="4"/>
          <c:tx>
            <c:strRef>
              <c:f>Mica0!$H$25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Mica0!$I$20:$N$20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Mica0!$I$25:$N$25</c:f>
              <c:numCache>
                <c:formatCode>0.000_);\(0.000\)</c:formatCode>
                <c:ptCount val="6"/>
                <c:pt idx="0">
                  <c:v>1</c:v>
                </c:pt>
                <c:pt idx="1">
                  <c:v>1.421769325390329</c:v>
                </c:pt>
                <c:pt idx="2">
                  <c:v>0.98157416525674535</c:v>
                </c:pt>
                <c:pt idx="3">
                  <c:v>1.9764889159527375</c:v>
                </c:pt>
                <c:pt idx="4">
                  <c:v>2.3859244129165798</c:v>
                </c:pt>
                <c:pt idx="5">
                  <c:v>3.3925883387457776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DB-4269-9356-83DAC26B5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77488"/>
        <c:axId val="452674576"/>
      </c:scatterChart>
      <c:valAx>
        <c:axId val="45267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4576"/>
        <c:crosses val="autoZero"/>
        <c:crossBetween val="midCat"/>
      </c:valAx>
      <c:valAx>
        <c:axId val="4526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Mica1!$H$21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Mica1!$I$20:$N$20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Mica1!$I$21:$N$21</c:f>
              <c:numCache>
                <c:formatCode>0.000_);\(0.000\)</c:formatCode>
                <c:ptCount val="6"/>
                <c:pt idx="0">
                  <c:v>1</c:v>
                </c:pt>
                <c:pt idx="1">
                  <c:v>2.0847350826568456</c:v>
                </c:pt>
                <c:pt idx="2">
                  <c:v>1.8222581404917653</c:v>
                </c:pt>
                <c:pt idx="3">
                  <c:v>1.9293111967265466</c:v>
                </c:pt>
                <c:pt idx="4">
                  <c:v>4.4197838559113576</c:v>
                </c:pt>
                <c:pt idx="5">
                  <c:v>4.6570216401339923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9-4594-9390-674FC4DF2F30}"/>
            </c:ext>
          </c:extLst>
        </c:ser>
        <c:ser>
          <c:idx val="1"/>
          <c:order val="1"/>
          <c:tx>
            <c:strRef>
              <c:f>Mica1!$H$22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Mica1!$I$20:$N$20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Mica1!$I$22:$N$22</c:f>
              <c:numCache>
                <c:formatCode>0.000_);\(0.000\)</c:formatCode>
                <c:ptCount val="6"/>
                <c:pt idx="0">
                  <c:v>1</c:v>
                </c:pt>
                <c:pt idx="1">
                  <c:v>0.79222690652934913</c:v>
                </c:pt>
                <c:pt idx="2">
                  <c:v>0.9596473204788335</c:v>
                </c:pt>
                <c:pt idx="3">
                  <c:v>0.98970336880542054</c:v>
                </c:pt>
                <c:pt idx="4">
                  <c:v>2.1013556386916044</c:v>
                </c:pt>
                <c:pt idx="5">
                  <c:v>2.5800571346115979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9-4594-9390-674FC4DF2F30}"/>
            </c:ext>
          </c:extLst>
        </c:ser>
        <c:ser>
          <c:idx val="2"/>
          <c:order val="2"/>
          <c:tx>
            <c:strRef>
              <c:f>Mica1!$H$23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Mica1!$I$20:$N$20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Mica1!$I$23:$N$23</c:f>
              <c:numCache>
                <c:formatCode>0.000_);\(0.000\)</c:formatCode>
                <c:ptCount val="6"/>
                <c:pt idx="0">
                  <c:v>1</c:v>
                </c:pt>
                <c:pt idx="1">
                  <c:v>0.80581940729200419</c:v>
                </c:pt>
                <c:pt idx="2">
                  <c:v>0.88053872949610623</c:v>
                </c:pt>
                <c:pt idx="3">
                  <c:v>0.81770240589771781</c:v>
                </c:pt>
                <c:pt idx="4">
                  <c:v>2.1003160183637584</c:v>
                </c:pt>
                <c:pt idx="5">
                  <c:v>2.1842820759513106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F9-4594-9390-674FC4DF2F30}"/>
            </c:ext>
          </c:extLst>
        </c:ser>
        <c:ser>
          <c:idx val="3"/>
          <c:order val="3"/>
          <c:tx>
            <c:strRef>
              <c:f>Mica1!$H$24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Mica1!$I$20:$N$20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Mica1!$I$24:$N$24</c:f>
              <c:numCache>
                <c:formatCode>0.000_);\(0.000\)</c:formatCode>
                <c:ptCount val="6"/>
                <c:pt idx="0">
                  <c:v>1</c:v>
                </c:pt>
                <c:pt idx="1">
                  <c:v>0.97137816020508527</c:v>
                </c:pt>
                <c:pt idx="2">
                  <c:v>1.3072170917740682</c:v>
                </c:pt>
                <c:pt idx="3">
                  <c:v>1.2215478897271537</c:v>
                </c:pt>
                <c:pt idx="4">
                  <c:v>2.4964362783499978</c:v>
                </c:pt>
                <c:pt idx="5">
                  <c:v>1.3902280467885235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F9-4594-9390-674FC4DF2F30}"/>
            </c:ext>
          </c:extLst>
        </c:ser>
        <c:ser>
          <c:idx val="4"/>
          <c:order val="4"/>
          <c:tx>
            <c:strRef>
              <c:f>Mica1!$H$25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Mica1!$I$20:$N$20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Mica1!$I$25:$N$25</c:f>
              <c:numCache>
                <c:formatCode>0.000_);\(0.000\)</c:formatCode>
                <c:ptCount val="6"/>
                <c:pt idx="0">
                  <c:v>1</c:v>
                </c:pt>
                <c:pt idx="1">
                  <c:v>1.0190436092025676</c:v>
                </c:pt>
                <c:pt idx="2">
                  <c:v>1.3465225606721141</c:v>
                </c:pt>
                <c:pt idx="3">
                  <c:v>1.3974041060798579</c:v>
                </c:pt>
                <c:pt idx="4">
                  <c:v>2.0761114307026993</c:v>
                </c:pt>
                <c:pt idx="5">
                  <c:v>3.4180219076621134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F9-4594-9390-674FC4DF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43984"/>
        <c:axId val="1998445648"/>
      </c:scatterChart>
      <c:valAx>
        <c:axId val="199844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45648"/>
        <c:crosses val="autoZero"/>
        <c:crossBetween val="midCat"/>
      </c:valAx>
      <c:valAx>
        <c:axId val="19984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4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Mica2!$H$21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Mica2!$I$20:$N$20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Mica2!$I$21:$N$21</c:f>
              <c:numCache>
                <c:formatCode>0.000_);\(0.000\)</c:formatCode>
                <c:ptCount val="6"/>
                <c:pt idx="0">
                  <c:v>1</c:v>
                </c:pt>
                <c:pt idx="1">
                  <c:v>1.5522047753120169</c:v>
                </c:pt>
                <c:pt idx="2">
                  <c:v>7.6561156017336556</c:v>
                </c:pt>
                <c:pt idx="3">
                  <c:v>4.7970028343712334</c:v>
                </c:pt>
                <c:pt idx="4">
                  <c:v>5.9442821395501921</c:v>
                </c:pt>
                <c:pt idx="5">
                  <c:v>8.8608374772109944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9-4EDD-87E5-02D009DC78C2}"/>
            </c:ext>
          </c:extLst>
        </c:ser>
        <c:ser>
          <c:idx val="1"/>
          <c:order val="1"/>
          <c:tx>
            <c:strRef>
              <c:f>Mica2!$H$22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Mica2!$I$20:$N$20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Mica2!$I$22:$N$22</c:f>
              <c:numCache>
                <c:formatCode>0.000_);\(0.000\)</c:formatCode>
                <c:ptCount val="6"/>
                <c:pt idx="0">
                  <c:v>1</c:v>
                </c:pt>
                <c:pt idx="1">
                  <c:v>0.86532983361138116</c:v>
                </c:pt>
                <c:pt idx="2">
                  <c:v>7.0279443081507251</c:v>
                </c:pt>
                <c:pt idx="3">
                  <c:v>2.3306825439082819</c:v>
                </c:pt>
                <c:pt idx="4">
                  <c:v>3.6602773049252484</c:v>
                </c:pt>
                <c:pt idx="5">
                  <c:v>2.8376765935237569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89-4EDD-87E5-02D009DC78C2}"/>
            </c:ext>
          </c:extLst>
        </c:ser>
        <c:ser>
          <c:idx val="2"/>
          <c:order val="2"/>
          <c:tx>
            <c:strRef>
              <c:f>Mica2!$H$23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Mica2!$I$20:$N$20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Mica2!$I$23:$N$23</c:f>
              <c:numCache>
                <c:formatCode>0.000_);\(0.000\)</c:formatCode>
                <c:ptCount val="6"/>
                <c:pt idx="0">
                  <c:v>1</c:v>
                </c:pt>
                <c:pt idx="1">
                  <c:v>1.5831811483423337</c:v>
                </c:pt>
                <c:pt idx="2">
                  <c:v>5.1904066314141639</c:v>
                </c:pt>
                <c:pt idx="3">
                  <c:v>1.3018671947624727</c:v>
                </c:pt>
                <c:pt idx="4">
                  <c:v>2.405588404554877</c:v>
                </c:pt>
                <c:pt idx="5">
                  <c:v>8.2380167433059412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89-4EDD-87E5-02D009DC78C2}"/>
            </c:ext>
          </c:extLst>
        </c:ser>
        <c:ser>
          <c:idx val="3"/>
          <c:order val="3"/>
          <c:tx>
            <c:strRef>
              <c:f>Mica2!$H$24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Mica2!$I$20:$N$20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Mica2!$I$24:$N$24</c:f>
              <c:numCache>
                <c:formatCode>0.000_);\(0.000\)</c:formatCode>
                <c:ptCount val="6"/>
                <c:pt idx="0">
                  <c:v>1</c:v>
                </c:pt>
                <c:pt idx="1">
                  <c:v>4.9995687120716852</c:v>
                </c:pt>
                <c:pt idx="2">
                  <c:v>3.6186040472801815</c:v>
                </c:pt>
                <c:pt idx="3">
                  <c:v>3.4178589146349885</c:v>
                </c:pt>
                <c:pt idx="4">
                  <c:v>3.2472397957909229</c:v>
                </c:pt>
                <c:pt idx="5">
                  <c:v>11.162218172240372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89-4EDD-87E5-02D009DC78C2}"/>
            </c:ext>
          </c:extLst>
        </c:ser>
        <c:ser>
          <c:idx val="4"/>
          <c:order val="4"/>
          <c:tx>
            <c:strRef>
              <c:f>Mica2!$H$25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Mica2!$I$20:$N$20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Mica2!$I$25:$N$25</c:f>
              <c:numCache>
                <c:formatCode>0.000_);\(0.000\)</c:formatCode>
                <c:ptCount val="6"/>
                <c:pt idx="0">
                  <c:v>1</c:v>
                </c:pt>
                <c:pt idx="1">
                  <c:v>3.0850153157179885</c:v>
                </c:pt>
                <c:pt idx="2">
                  <c:v>4.8970334212290751</c:v>
                </c:pt>
                <c:pt idx="3">
                  <c:v>1.6669816113425899</c:v>
                </c:pt>
                <c:pt idx="4">
                  <c:v>4.7389125583204113</c:v>
                </c:pt>
                <c:pt idx="5">
                  <c:v>6.3746599020916834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89-4EDD-87E5-02D009DC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745680"/>
        <c:axId val="450746096"/>
      </c:scatterChart>
      <c:valAx>
        <c:axId val="450745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46096"/>
        <c:crosses val="autoZero"/>
        <c:crossBetween val="midCat"/>
      </c:valAx>
      <c:valAx>
        <c:axId val="4507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4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Mica3!$H$21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Mica3!$I$20:$N$20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Mica3!$I$21:$N$21</c:f>
              <c:numCache>
                <c:formatCode>0.000_);\(0.000\)</c:formatCode>
                <c:ptCount val="6"/>
                <c:pt idx="0">
                  <c:v>1</c:v>
                </c:pt>
                <c:pt idx="1">
                  <c:v>2.4811488529383405</c:v>
                </c:pt>
                <c:pt idx="2">
                  <c:v>1.7610431262422652</c:v>
                </c:pt>
                <c:pt idx="3">
                  <c:v>1.6643780430291886</c:v>
                </c:pt>
                <c:pt idx="4">
                  <c:v>2.3304178880964712</c:v>
                </c:pt>
                <c:pt idx="5">
                  <c:v>9.194410088426606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C-4A36-B730-0F930932F1BF}"/>
            </c:ext>
          </c:extLst>
        </c:ser>
        <c:ser>
          <c:idx val="1"/>
          <c:order val="1"/>
          <c:tx>
            <c:strRef>
              <c:f>Mica3!$H$22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Mica3!$I$20:$N$20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Mica3!$I$22:$N$22</c:f>
              <c:numCache>
                <c:formatCode>0.000_);\(0.000\)</c:formatCode>
                <c:ptCount val="6"/>
                <c:pt idx="0">
                  <c:v>1</c:v>
                </c:pt>
                <c:pt idx="1">
                  <c:v>1.6215688794650429</c:v>
                </c:pt>
                <c:pt idx="2">
                  <c:v>1.9109743459314839</c:v>
                </c:pt>
                <c:pt idx="3">
                  <c:v>1.5577450102949397</c:v>
                </c:pt>
                <c:pt idx="4">
                  <c:v>1.6147541622547024</c:v>
                </c:pt>
                <c:pt idx="5">
                  <c:v>6.0591946938963366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AC-4A36-B730-0F930932F1BF}"/>
            </c:ext>
          </c:extLst>
        </c:ser>
        <c:ser>
          <c:idx val="2"/>
          <c:order val="2"/>
          <c:tx>
            <c:strRef>
              <c:f>Mica3!$H$23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Mica3!$I$20:$N$20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Mica3!$I$23:$N$23</c:f>
              <c:numCache>
                <c:formatCode>0.000_);\(0.000\)</c:formatCode>
                <c:ptCount val="6"/>
                <c:pt idx="0">
                  <c:v>1</c:v>
                </c:pt>
                <c:pt idx="1">
                  <c:v>0.86982770905220008</c:v>
                </c:pt>
                <c:pt idx="2">
                  <c:v>1.5604150485591761</c:v>
                </c:pt>
                <c:pt idx="3">
                  <c:v>1.7928293747021788</c:v>
                </c:pt>
                <c:pt idx="4">
                  <c:v>2.1230544137568317</c:v>
                </c:pt>
                <c:pt idx="5">
                  <c:v>2.5277435751161037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AC-4A36-B730-0F930932F1BF}"/>
            </c:ext>
          </c:extLst>
        </c:ser>
        <c:ser>
          <c:idx val="3"/>
          <c:order val="3"/>
          <c:tx>
            <c:strRef>
              <c:f>Mica3!$H$24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Mica3!$I$20:$N$20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Mica3!$I$24:$N$24</c:f>
              <c:numCache>
                <c:formatCode>0.000_);\(0.000\)</c:formatCode>
                <c:ptCount val="6"/>
                <c:pt idx="0">
                  <c:v>1</c:v>
                </c:pt>
                <c:pt idx="1">
                  <c:v>0.80369285052080475</c:v>
                </c:pt>
                <c:pt idx="2">
                  <c:v>0.97567363231322457</c:v>
                </c:pt>
                <c:pt idx="3">
                  <c:v>2.1456582115049407</c:v>
                </c:pt>
                <c:pt idx="4">
                  <c:v>3.0931388407237632</c:v>
                </c:pt>
                <c:pt idx="5">
                  <c:v>2.686723020535021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AC-4A36-B730-0F930932F1BF}"/>
            </c:ext>
          </c:extLst>
        </c:ser>
        <c:ser>
          <c:idx val="4"/>
          <c:order val="4"/>
          <c:tx>
            <c:strRef>
              <c:f>Mica3!$H$25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Mica3!$I$20:$N$20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Mica3!$I$25:$N$25</c:f>
              <c:numCache>
                <c:formatCode>0.000_);\(0.000\)</c:formatCode>
                <c:ptCount val="6"/>
                <c:pt idx="0">
                  <c:v>1</c:v>
                </c:pt>
                <c:pt idx="1">
                  <c:v>1.7734455845214601</c:v>
                </c:pt>
                <c:pt idx="2">
                  <c:v>1.4562931773563754</c:v>
                </c:pt>
                <c:pt idx="3">
                  <c:v>1.8678895397709525</c:v>
                </c:pt>
                <c:pt idx="4">
                  <c:v>4.1749643745299059</c:v>
                </c:pt>
                <c:pt idx="5">
                  <c:v>4.3234404865030305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AC-4A36-B730-0F930932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71760"/>
        <c:axId val="328672592"/>
      </c:scatterChart>
      <c:valAx>
        <c:axId val="32867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72592"/>
        <c:crosses val="autoZero"/>
        <c:crossBetween val="midCat"/>
      </c:valAx>
      <c:valAx>
        <c:axId val="3286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7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Mica4!$H$21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Mica4!$I$20:$N$20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Mica4!$I$21:$N$21</c:f>
              <c:numCache>
                <c:formatCode>0.000_);\(0.000\)</c:formatCode>
                <c:ptCount val="6"/>
                <c:pt idx="0">
                  <c:v>1</c:v>
                </c:pt>
                <c:pt idx="1">
                  <c:v>0.66084479846329336</c:v>
                </c:pt>
                <c:pt idx="2">
                  <c:v>1.1171210526206468</c:v>
                </c:pt>
                <c:pt idx="3">
                  <c:v>1.6580569960574021</c:v>
                </c:pt>
                <c:pt idx="4">
                  <c:v>1.881604611339031</c:v>
                </c:pt>
                <c:pt idx="5">
                  <c:v>2.3537733858729326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3-4F95-8E95-C452167C5F75}"/>
            </c:ext>
          </c:extLst>
        </c:ser>
        <c:ser>
          <c:idx val="1"/>
          <c:order val="1"/>
          <c:tx>
            <c:strRef>
              <c:f>Mica4!$H$22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Mica4!$I$20:$N$20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Mica4!$I$22:$N$22</c:f>
              <c:numCache>
                <c:formatCode>0.000_);\(0.000\)</c:formatCode>
                <c:ptCount val="6"/>
                <c:pt idx="0">
                  <c:v>1</c:v>
                </c:pt>
                <c:pt idx="1">
                  <c:v>2.1250938280244545</c:v>
                </c:pt>
                <c:pt idx="2">
                  <c:v>1.6060242697457863</c:v>
                </c:pt>
                <c:pt idx="3">
                  <c:v>2.5106116737489503</c:v>
                </c:pt>
                <c:pt idx="4">
                  <c:v>3.1258411693152923</c:v>
                </c:pt>
                <c:pt idx="5">
                  <c:v>6.4078624353553151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3-4F95-8E95-C452167C5F75}"/>
            </c:ext>
          </c:extLst>
        </c:ser>
        <c:ser>
          <c:idx val="2"/>
          <c:order val="2"/>
          <c:tx>
            <c:strRef>
              <c:f>Mica4!$H$23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Mica4!$I$20:$N$20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Mica4!$I$23:$N$23</c:f>
              <c:numCache>
                <c:formatCode>0.000_);\(0.000\)</c:formatCode>
                <c:ptCount val="6"/>
                <c:pt idx="0">
                  <c:v>1</c:v>
                </c:pt>
                <c:pt idx="1">
                  <c:v>1.0324693503279079</c:v>
                </c:pt>
                <c:pt idx="2">
                  <c:v>2.2833787436222912</c:v>
                </c:pt>
                <c:pt idx="3">
                  <c:v>1.920706155335268</c:v>
                </c:pt>
                <c:pt idx="4">
                  <c:v>2.5867337538482924</c:v>
                </c:pt>
                <c:pt idx="5">
                  <c:v>4.1445669570014063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53-4F95-8E95-C452167C5F75}"/>
            </c:ext>
          </c:extLst>
        </c:ser>
        <c:ser>
          <c:idx val="3"/>
          <c:order val="3"/>
          <c:tx>
            <c:strRef>
              <c:f>Mica4!$H$24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Mica4!$I$20:$N$20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Mica4!$I$24:$N$24</c:f>
              <c:numCache>
                <c:formatCode>0.000_);\(0.000\)</c:formatCode>
                <c:ptCount val="6"/>
                <c:pt idx="0">
                  <c:v>1</c:v>
                </c:pt>
                <c:pt idx="1">
                  <c:v>1.6641003038501765</c:v>
                </c:pt>
                <c:pt idx="2">
                  <c:v>1.8896524162537167</c:v>
                </c:pt>
                <c:pt idx="3">
                  <c:v>3.9854542621451947</c:v>
                </c:pt>
                <c:pt idx="4">
                  <c:v>2.5712049468516356</c:v>
                </c:pt>
                <c:pt idx="5">
                  <c:v>3.9316083008343612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53-4F95-8E95-C452167C5F75}"/>
            </c:ext>
          </c:extLst>
        </c:ser>
        <c:ser>
          <c:idx val="4"/>
          <c:order val="4"/>
          <c:tx>
            <c:strRef>
              <c:f>Mica4!$H$25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Mica4!$I$20:$N$20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Mica4!$I$25:$N$25</c:f>
              <c:numCache>
                <c:formatCode>0.000_);\(0.000\)</c:formatCode>
                <c:ptCount val="6"/>
                <c:pt idx="0">
                  <c:v>1</c:v>
                </c:pt>
                <c:pt idx="1">
                  <c:v>1.306130284391861</c:v>
                </c:pt>
                <c:pt idx="2">
                  <c:v>1.7118107149932229</c:v>
                </c:pt>
                <c:pt idx="3">
                  <c:v>3.0861987464874603</c:v>
                </c:pt>
                <c:pt idx="4">
                  <c:v>2.7922431972696256</c:v>
                </c:pt>
                <c:pt idx="5">
                  <c:v>3.3159195396373051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53-4F95-8E95-C452167C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647632"/>
        <c:axId val="2061648464"/>
      </c:scatterChart>
      <c:valAx>
        <c:axId val="206164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48464"/>
        <c:crosses val="autoZero"/>
        <c:crossBetween val="midCat"/>
      </c:valAx>
      <c:valAx>
        <c:axId val="20616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4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'T1 - AllMicaAvs'!$A$4</c:f>
              <c:strCache>
                <c:ptCount val="1"/>
                <c:pt idx="0">
                  <c:v>5 ng/mL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AllMicaAvs'!$B$11:$G$11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0.54181943369528862</c:v>
                  </c:pt>
                  <c:pt idx="2">
                    <c:v>0.49000344141505348</c:v>
                  </c:pt>
                  <c:pt idx="3">
                    <c:v>0.63558819378539444</c:v>
                  </c:pt>
                  <c:pt idx="4">
                    <c:v>1.2296601390391442</c:v>
                  </c:pt>
                  <c:pt idx="5">
                    <c:v>1.2572852875807614</c:v>
                  </c:pt>
                </c:numCache>
              </c:numRef>
            </c:plus>
            <c:minus>
              <c:numRef>
                <c:f>'T1 - AllMicaAvs'!$B$11:$G$11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0.54181943369528862</c:v>
                  </c:pt>
                  <c:pt idx="2">
                    <c:v>0.49000344141505348</c:v>
                  </c:pt>
                  <c:pt idx="3">
                    <c:v>0.63558819378539444</c:v>
                  </c:pt>
                  <c:pt idx="4">
                    <c:v>1.2296601390391442</c:v>
                  </c:pt>
                  <c:pt idx="5">
                    <c:v>1.2572852875807614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'T1 - AllMicaAvs'!$B$2:$G$2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'T1 - AllMicaAvs'!$B$4:$G$4</c:f>
              <c:numCache>
                <c:formatCode>General</c:formatCode>
                <c:ptCount val="6"/>
                <c:pt idx="0">
                  <c:v>1</c:v>
                </c:pt>
                <c:pt idx="1">
                  <c:v>1.1346406331771703</c:v>
                </c:pt>
                <c:pt idx="2">
                  <c:v>1.2632367685825776</c:v>
                </c:pt>
                <c:pt idx="3">
                  <c:v>1.2711337934473392</c:v>
                </c:pt>
                <c:pt idx="4">
                  <c:v>2.6388006444038838</c:v>
                </c:pt>
                <c:pt idx="5">
                  <c:v>2.8459221610295078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E5-4041-B6D4-D118450F4216}"/>
            </c:ext>
          </c:extLst>
        </c:ser>
        <c:ser>
          <c:idx val="1"/>
          <c:order val="1"/>
          <c:tx>
            <c:strRef>
              <c:f>'T1 - AllMicaAvs'!$A$5</c:f>
              <c:strCache>
                <c:ptCount val="1"/>
                <c:pt idx="0">
                  <c:v>10 ng/mL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'T1 - AllMicaAvs'!$B$12:$G$12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1.6481933484491584</c:v>
                  </c:pt>
                  <c:pt idx="2">
                    <c:v>2.9408629486203046</c:v>
                  </c:pt>
                  <c:pt idx="3">
                    <c:v>1.578180186184712</c:v>
                  </c:pt>
                  <c:pt idx="4">
                    <c:v>1.9894160250737853</c:v>
                  </c:pt>
                  <c:pt idx="5">
                    <c:v>4.0447789050295473</c:v>
                  </c:pt>
                </c:numCache>
              </c:numRef>
            </c:plus>
            <c:minus>
              <c:numRef>
                <c:f>'T1 - AllMicaAvs'!$B$12:$G$12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1.6481933484491584</c:v>
                  </c:pt>
                  <c:pt idx="2">
                    <c:v>2.9408629486203046</c:v>
                  </c:pt>
                  <c:pt idx="3">
                    <c:v>1.578180186184712</c:v>
                  </c:pt>
                  <c:pt idx="4">
                    <c:v>1.9894160250737853</c:v>
                  </c:pt>
                  <c:pt idx="5">
                    <c:v>4.0447789050295473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'T1 - AllMicaAvs'!$B$2:$G$2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'T1 - AllMicaAvs'!$B$5:$G$5</c:f>
              <c:numCache>
                <c:formatCode>General</c:formatCode>
                <c:ptCount val="6"/>
                <c:pt idx="0">
                  <c:v>1</c:v>
                </c:pt>
                <c:pt idx="1">
                  <c:v>2.4170599570110811</c:v>
                </c:pt>
                <c:pt idx="2">
                  <c:v>5.6780208019615603</c:v>
                </c:pt>
                <c:pt idx="3">
                  <c:v>2.7028786198039136</c:v>
                </c:pt>
                <c:pt idx="4">
                  <c:v>4.0495729914570164</c:v>
                </c:pt>
                <c:pt idx="5">
                  <c:v>7.4946817776745505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E5-4041-B6D4-D118450F4216}"/>
            </c:ext>
          </c:extLst>
        </c:ser>
        <c:ser>
          <c:idx val="2"/>
          <c:order val="2"/>
          <c:tx>
            <c:strRef>
              <c:f>'T1 - AllMicaAvs'!$A$6</c:f>
              <c:strCache>
                <c:ptCount val="1"/>
                <c:pt idx="0">
                  <c:v>15 ng/mL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AllMicaAvs'!$B$13:$G$13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0.75759522111470678</c:v>
                  </c:pt>
                  <c:pt idx="2">
                    <c:v>0.52422937225912591</c:v>
                  </c:pt>
                  <c:pt idx="3">
                    <c:v>0.51075327464848341</c:v>
                  </c:pt>
                  <c:pt idx="4">
                    <c:v>1.3807117139426155</c:v>
                  </c:pt>
                  <c:pt idx="5">
                    <c:v>2.7914373247890154</c:v>
                  </c:pt>
                </c:numCache>
              </c:numRef>
            </c:plus>
            <c:minus>
              <c:numRef>
                <c:f>'T1 - AllMicaAvs'!$B$13:$G$13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0.75759522111470678</c:v>
                  </c:pt>
                  <c:pt idx="2">
                    <c:v>0.52422937225912591</c:v>
                  </c:pt>
                  <c:pt idx="3">
                    <c:v>0.51075327464848341</c:v>
                  </c:pt>
                  <c:pt idx="4">
                    <c:v>1.3807117139426155</c:v>
                  </c:pt>
                  <c:pt idx="5">
                    <c:v>2.7914373247890154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65000"/>
                    <a:alpha val="98000"/>
                  </a:schemeClr>
                </a:solidFill>
                <a:round/>
              </a:ln>
              <a:effectLst/>
            </c:spPr>
          </c:errBars>
          <c:xVal>
            <c:numRef>
              <c:f>'T1 - AllMicaAvs'!$B$2:$G$2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'T1 - AllMicaAvs'!$B$6:$G$6</c:f>
              <c:numCache>
                <c:formatCode>General</c:formatCode>
                <c:ptCount val="6"/>
                <c:pt idx="0">
                  <c:v>1</c:v>
                </c:pt>
                <c:pt idx="1">
                  <c:v>1.5099367752995696</c:v>
                </c:pt>
                <c:pt idx="2">
                  <c:v>1.532879866080505</c:v>
                </c:pt>
                <c:pt idx="3">
                  <c:v>1.8057000358604403</c:v>
                </c:pt>
                <c:pt idx="4">
                  <c:v>2.7243468400983728</c:v>
                </c:pt>
                <c:pt idx="5">
                  <c:v>4.9583023728954192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E5-4041-B6D4-D118450F4216}"/>
            </c:ext>
          </c:extLst>
        </c:ser>
        <c:ser>
          <c:idx val="3"/>
          <c:order val="3"/>
          <c:tx>
            <c:strRef>
              <c:f>'T1 - AllMicaAvs'!$A$7</c:f>
              <c:strCache>
                <c:ptCount val="1"/>
                <c:pt idx="0">
                  <c:v>20 ng/mL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AllMicaAvs'!$B$14:$G$14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0.56762423999270062</c:v>
                  </c:pt>
                  <c:pt idx="2">
                    <c:v>0.52579296601080638</c:v>
                  </c:pt>
                  <c:pt idx="3">
                    <c:v>1.0433505377100061</c:v>
                  </c:pt>
                  <c:pt idx="4">
                    <c:v>0.73392231620301107</c:v>
                  </c:pt>
                  <c:pt idx="5">
                    <c:v>1.7233702111526339</c:v>
                  </c:pt>
                </c:numCache>
              </c:numRef>
            </c:plus>
            <c:minus>
              <c:numRef>
                <c:f>'T1 - AllMicaAvs'!$B$14:$G$14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0.56762423999270062</c:v>
                  </c:pt>
                  <c:pt idx="2">
                    <c:v>0.52579296601080638</c:v>
                  </c:pt>
                  <c:pt idx="3">
                    <c:v>1.0433505377100061</c:v>
                  </c:pt>
                  <c:pt idx="4">
                    <c:v>0.73392231620301107</c:v>
                  </c:pt>
                  <c:pt idx="5">
                    <c:v>1.7233702111526339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C000"/>
                </a:solidFill>
                <a:round/>
              </a:ln>
              <a:effectLst/>
            </c:spPr>
          </c:errBars>
          <c:xVal>
            <c:numRef>
              <c:f>'T1 - AllMicaAvs'!$B$2:$G$2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</c:numCache>
            </c:numRef>
          </c:xVal>
          <c:yVal>
            <c:numRef>
              <c:f>'T1 - AllMicaAvs'!$B$7:$G$7</c:f>
              <c:numCache>
                <c:formatCode>General</c:formatCode>
                <c:ptCount val="6"/>
                <c:pt idx="0">
                  <c:v>1</c:v>
                </c:pt>
                <c:pt idx="1">
                  <c:v>1.3577277130115386</c:v>
                </c:pt>
                <c:pt idx="2">
                  <c:v>1.7215974394471327</c:v>
                </c:pt>
                <c:pt idx="3">
                  <c:v>2.632205566754855</c:v>
                </c:pt>
                <c:pt idx="4">
                  <c:v>2.6527682900797296</c:v>
                </c:pt>
                <c:pt idx="5">
                  <c:v>4.0307461237402649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E5-4041-B6D4-D118450F4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107920"/>
        <c:axId val="459130432"/>
      </c:scatterChart>
      <c:valAx>
        <c:axId val="46110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after Exposure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0432"/>
        <c:crosses val="autoZero"/>
        <c:crossBetween val="midCat"/>
      </c:valAx>
      <c:valAx>
        <c:axId val="4591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brlA Fold Change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10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Mica0!$H$28</c:f>
              <c:strCache>
                <c:ptCount val="1"/>
                <c:pt idx="0">
                  <c:v>Mica0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AllMicaAvs'!$B$10:$G$10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0.5501806191749764</c:v>
                  </c:pt>
                  <c:pt idx="2">
                    <c:v>0.87775753926406241</c:v>
                  </c:pt>
                  <c:pt idx="3">
                    <c:v>0.82758566167331804</c:v>
                  </c:pt>
                  <c:pt idx="4">
                    <c:v>1.1484934450106024</c:v>
                  </c:pt>
                  <c:pt idx="5">
                    <c:v>2.1177591969085898</c:v>
                  </c:pt>
                </c:numCache>
              </c:numRef>
            </c:plus>
            <c:minus>
              <c:numRef>
                <c:f>'T1 - AllMicaAvs'!$B$10:$G$10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0.5501806191749764</c:v>
                  </c:pt>
                  <c:pt idx="2">
                    <c:v>0.87775753926406241</c:v>
                  </c:pt>
                  <c:pt idx="3">
                    <c:v>0.82758566167331804</c:v>
                  </c:pt>
                  <c:pt idx="4">
                    <c:v>1.1484934450106024</c:v>
                  </c:pt>
                  <c:pt idx="5">
                    <c:v>2.1177591969085898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Mica0!$I$27:$N$27</c:f>
              <c:numCache>
                <c:formatCode>###0.00;\-###0.00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 formatCode="General">
                  <c:v>30</c:v>
                </c:pt>
                <c:pt idx="4">
                  <c:v>60</c:v>
                </c:pt>
                <c:pt idx="5" formatCode="General">
                  <c:v>90</c:v>
                </c:pt>
              </c:numCache>
            </c:numRef>
          </c:xVal>
          <c:yVal>
            <c:numRef>
              <c:f>Mica0!$I$28:$N$28</c:f>
              <c:numCache>
                <c:formatCode>0.000_);\(0.000\)</c:formatCode>
                <c:ptCount val="6"/>
                <c:pt idx="0">
                  <c:v>1</c:v>
                </c:pt>
                <c:pt idx="1">
                  <c:v>0.97727997006321277</c:v>
                </c:pt>
                <c:pt idx="2">
                  <c:v>1.1635105640707388</c:v>
                </c:pt>
                <c:pt idx="3">
                  <c:v>1.2450460019517138</c:v>
                </c:pt>
                <c:pt idx="4">
                  <c:v>1.8553948563802778</c:v>
                </c:pt>
                <c:pt idx="5">
                  <c:v>3.0623909654205845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D-4D0E-A8F7-153C0787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52240"/>
        <c:axId val="450652656"/>
      </c:scatterChart>
      <c:valAx>
        <c:axId val="45065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0;\-#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52656"/>
        <c:crosses val="autoZero"/>
        <c:crossBetween val="midCat"/>
      </c:valAx>
      <c:valAx>
        <c:axId val="4506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</a:t>
                </a:r>
                <a:r>
                  <a:rPr lang="en-US" baseline="0"/>
                  <a:t> Change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5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Mica1!$H$28</c:f>
              <c:strCache>
                <c:ptCount val="1"/>
                <c:pt idx="0">
                  <c:v>Mica1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AllMicaAvs'!$B$11:$G$11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0.54181943369528862</c:v>
                  </c:pt>
                  <c:pt idx="2">
                    <c:v>0.49000344141505348</c:v>
                  </c:pt>
                  <c:pt idx="3">
                    <c:v>0.63558819378539444</c:v>
                  </c:pt>
                  <c:pt idx="4">
                    <c:v>1.2296601390391442</c:v>
                  </c:pt>
                  <c:pt idx="5">
                    <c:v>1.2572852875807614</c:v>
                  </c:pt>
                </c:numCache>
              </c:numRef>
            </c:plus>
            <c:minus>
              <c:numRef>
                <c:f>'T1 - AllMicaAvs'!$B$11:$G$11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0.54181943369528862</c:v>
                  </c:pt>
                  <c:pt idx="2">
                    <c:v>0.49000344141505348</c:v>
                  </c:pt>
                  <c:pt idx="3">
                    <c:v>0.63558819378539444</c:v>
                  </c:pt>
                  <c:pt idx="4">
                    <c:v>1.2296601390391442</c:v>
                  </c:pt>
                  <c:pt idx="5">
                    <c:v>1.2572852875807614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Mica1!$I$27:$N$27</c:f>
              <c:numCache>
                <c:formatCode>###0.00;\-###0.00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 formatCode="General">
                  <c:v>30</c:v>
                </c:pt>
                <c:pt idx="4">
                  <c:v>60</c:v>
                </c:pt>
                <c:pt idx="5" formatCode="General">
                  <c:v>90</c:v>
                </c:pt>
              </c:numCache>
            </c:numRef>
          </c:xVal>
          <c:yVal>
            <c:numRef>
              <c:f>Mica1!$I$28:$N$28</c:f>
              <c:numCache>
                <c:formatCode>0.000_);\(0.000\)</c:formatCode>
                <c:ptCount val="6"/>
                <c:pt idx="0">
                  <c:v>1</c:v>
                </c:pt>
                <c:pt idx="1">
                  <c:v>1.1346406331771703</c:v>
                </c:pt>
                <c:pt idx="2">
                  <c:v>1.2632367685825776</c:v>
                </c:pt>
                <c:pt idx="3">
                  <c:v>1.2711337934473392</c:v>
                </c:pt>
                <c:pt idx="4">
                  <c:v>2.6388006444038838</c:v>
                </c:pt>
                <c:pt idx="5">
                  <c:v>2.8459221610295078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5-4201-84A5-4174DA31F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018320"/>
        <c:axId val="1895495968"/>
      </c:scatterChart>
      <c:valAx>
        <c:axId val="31501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0;\-#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95968"/>
        <c:crosses val="autoZero"/>
        <c:crossBetween val="midCat"/>
      </c:valAx>
      <c:valAx>
        <c:axId val="18954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1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Mica2!$H$28</c:f>
              <c:strCache>
                <c:ptCount val="1"/>
                <c:pt idx="0">
                  <c:v>Mica2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AllMicaAvs'!$B$12:$G$12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1.6481933484491584</c:v>
                  </c:pt>
                  <c:pt idx="2">
                    <c:v>2.9408629486203046</c:v>
                  </c:pt>
                  <c:pt idx="3">
                    <c:v>1.578180186184712</c:v>
                  </c:pt>
                  <c:pt idx="4">
                    <c:v>1.9894160250737853</c:v>
                  </c:pt>
                  <c:pt idx="5">
                    <c:v>4.0447789050295473</c:v>
                  </c:pt>
                </c:numCache>
              </c:numRef>
            </c:plus>
            <c:minus>
              <c:numRef>
                <c:f>'T1 - AllMicaAvs'!$B$12:$G$12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1.6481933484491584</c:v>
                  </c:pt>
                  <c:pt idx="2">
                    <c:v>2.9408629486203046</c:v>
                  </c:pt>
                  <c:pt idx="3">
                    <c:v>1.578180186184712</c:v>
                  </c:pt>
                  <c:pt idx="4">
                    <c:v>1.9894160250737853</c:v>
                  </c:pt>
                  <c:pt idx="5">
                    <c:v>4.0447789050295473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Mica2!$I$27:$N$27</c:f>
              <c:numCache>
                <c:formatCode>###0.00;\-###0.00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 formatCode="General">
                  <c:v>30</c:v>
                </c:pt>
                <c:pt idx="4">
                  <c:v>60</c:v>
                </c:pt>
                <c:pt idx="5" formatCode="General">
                  <c:v>90</c:v>
                </c:pt>
              </c:numCache>
            </c:numRef>
          </c:xVal>
          <c:yVal>
            <c:numRef>
              <c:f>Mica2!$I$28:$N$28</c:f>
              <c:numCache>
                <c:formatCode>0.000_);\(0.000\)</c:formatCode>
                <c:ptCount val="6"/>
                <c:pt idx="0">
                  <c:v>1</c:v>
                </c:pt>
                <c:pt idx="1">
                  <c:v>2.4170599570110811</c:v>
                </c:pt>
                <c:pt idx="2">
                  <c:v>5.6780208019615603</c:v>
                </c:pt>
                <c:pt idx="3">
                  <c:v>2.7028786198039136</c:v>
                </c:pt>
                <c:pt idx="4">
                  <c:v>3.9992600406283301</c:v>
                </c:pt>
                <c:pt idx="5">
                  <c:v>7.4946817776745505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5-40AD-8378-24D310E8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758160"/>
        <c:axId val="450767312"/>
      </c:scatterChart>
      <c:valAx>
        <c:axId val="4507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0;\-#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67312"/>
        <c:crosses val="autoZero"/>
        <c:crossBetween val="midCat"/>
      </c:valAx>
      <c:valAx>
        <c:axId val="4507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5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Mica3!$H$28</c:f>
              <c:strCache>
                <c:ptCount val="1"/>
                <c:pt idx="0">
                  <c:v>Mica3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AllMicaAvs'!$B$13:$G$13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0.75759522111470678</c:v>
                  </c:pt>
                  <c:pt idx="2">
                    <c:v>0.52422937225912591</c:v>
                  </c:pt>
                  <c:pt idx="3">
                    <c:v>0.51075327464848341</c:v>
                  </c:pt>
                  <c:pt idx="4">
                    <c:v>1.3807117139426155</c:v>
                  </c:pt>
                  <c:pt idx="5">
                    <c:v>2.7914373247890154</c:v>
                  </c:pt>
                </c:numCache>
              </c:numRef>
            </c:plus>
            <c:minus>
              <c:numRef>
                <c:f>'T1 - AllMicaAvs'!$B$13:$G$13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0.75759522111470678</c:v>
                  </c:pt>
                  <c:pt idx="2">
                    <c:v>0.52422937225912591</c:v>
                  </c:pt>
                  <c:pt idx="3">
                    <c:v>0.51075327464848341</c:v>
                  </c:pt>
                  <c:pt idx="4">
                    <c:v>1.3807117139426155</c:v>
                  </c:pt>
                  <c:pt idx="5">
                    <c:v>2.7914373247890154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Mica3!$I$27:$N$27</c:f>
              <c:numCache>
                <c:formatCode>###0.00;\-###0.00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 formatCode="General">
                  <c:v>30</c:v>
                </c:pt>
                <c:pt idx="4">
                  <c:v>60</c:v>
                </c:pt>
                <c:pt idx="5" formatCode="General">
                  <c:v>90</c:v>
                </c:pt>
              </c:numCache>
            </c:numRef>
          </c:xVal>
          <c:yVal>
            <c:numRef>
              <c:f>Mica3!$I$28:$N$28</c:f>
              <c:numCache>
                <c:formatCode>0.000_);\(0.000\)</c:formatCode>
                <c:ptCount val="6"/>
                <c:pt idx="0">
                  <c:v>1</c:v>
                </c:pt>
                <c:pt idx="1">
                  <c:v>1.5099367752995696</c:v>
                </c:pt>
                <c:pt idx="2">
                  <c:v>1.532879866080505</c:v>
                </c:pt>
                <c:pt idx="3">
                  <c:v>1.8057000358604403</c:v>
                </c:pt>
                <c:pt idx="4">
                  <c:v>2.6672659358723352</c:v>
                </c:pt>
                <c:pt idx="5">
                  <c:v>4.9583023728954192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7-4F78-8BE4-E78F924C8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820304"/>
        <c:axId val="316819472"/>
      </c:scatterChart>
      <c:valAx>
        <c:axId val="31682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0;\-#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819472"/>
        <c:crosses val="autoZero"/>
        <c:crossBetween val="midCat"/>
      </c:valAx>
      <c:valAx>
        <c:axId val="3168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82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ng/mL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Mica4!$H$28</c:f>
              <c:strCache>
                <c:ptCount val="1"/>
                <c:pt idx="0">
                  <c:v>Mica4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'T1 - AllMicaAvs'!$B$14:$G$14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0.56762423999270062</c:v>
                  </c:pt>
                  <c:pt idx="2">
                    <c:v>0.52579296601080638</c:v>
                  </c:pt>
                  <c:pt idx="3">
                    <c:v>1.0433505377100061</c:v>
                  </c:pt>
                  <c:pt idx="4">
                    <c:v>0.73392231620301107</c:v>
                  </c:pt>
                  <c:pt idx="5">
                    <c:v>1.7233702111526339</c:v>
                  </c:pt>
                </c:numCache>
              </c:numRef>
            </c:plus>
            <c:minus>
              <c:numRef>
                <c:f>'T1 - AllMicaAvs'!$B$14:$G$14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0.56762423999270062</c:v>
                  </c:pt>
                  <c:pt idx="2">
                    <c:v>0.52579296601080638</c:v>
                  </c:pt>
                  <c:pt idx="3">
                    <c:v>1.0433505377100061</c:v>
                  </c:pt>
                  <c:pt idx="4">
                    <c:v>0.73392231620301107</c:v>
                  </c:pt>
                  <c:pt idx="5">
                    <c:v>1.7233702111526339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Mica4!$I$27:$N$27</c:f>
              <c:numCache>
                <c:formatCode>###0.00;\-###0.00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 formatCode="General">
                  <c:v>30</c:v>
                </c:pt>
                <c:pt idx="4">
                  <c:v>60</c:v>
                </c:pt>
                <c:pt idx="5" formatCode="General">
                  <c:v>90</c:v>
                </c:pt>
              </c:numCache>
            </c:numRef>
          </c:xVal>
          <c:yVal>
            <c:numRef>
              <c:f>Mica4!$I$28:$N$28</c:f>
              <c:numCache>
                <c:formatCode>0.000_);\(0.000\)</c:formatCode>
                <c:ptCount val="6"/>
                <c:pt idx="0">
                  <c:v>1</c:v>
                </c:pt>
                <c:pt idx="1">
                  <c:v>1.3577277130115386</c:v>
                </c:pt>
                <c:pt idx="2">
                  <c:v>1.7215974394471327</c:v>
                </c:pt>
                <c:pt idx="3">
                  <c:v>2.632205566754855</c:v>
                </c:pt>
                <c:pt idx="4">
                  <c:v>2.5915255357247751</c:v>
                </c:pt>
                <c:pt idx="5">
                  <c:v>4.0307461237402649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7-40BF-A452-E83D50AE7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30432"/>
        <c:axId val="459133344"/>
      </c:scatterChart>
      <c:valAx>
        <c:axId val="4591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0;\-#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3344"/>
        <c:crosses val="autoZero"/>
        <c:crossBetween val="midCat"/>
      </c:valAx>
      <c:valAx>
        <c:axId val="4591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_);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'T2 -Dose-ResponseAvgs'!$D$10:$D$14</c:f>
                <c:numCache>
                  <c:formatCode>General</c:formatCode>
                  <c:ptCount val="5"/>
                  <c:pt idx="0">
                    <c:v>0.87775753926406241</c:v>
                  </c:pt>
                  <c:pt idx="1">
                    <c:v>0.49000344141505348</c:v>
                  </c:pt>
                  <c:pt idx="2">
                    <c:v>2.9408629486203046</c:v>
                  </c:pt>
                  <c:pt idx="3">
                    <c:v>0.52422937225912591</c:v>
                  </c:pt>
                  <c:pt idx="4">
                    <c:v>0.52579296601080638</c:v>
                  </c:pt>
                </c:numCache>
              </c:numRef>
            </c:plus>
            <c:minus>
              <c:numRef>
                <c:f>'T2 -Dose-ResponseAvgs'!$D$10:$D$14</c:f>
                <c:numCache>
                  <c:formatCode>General</c:formatCode>
                  <c:ptCount val="5"/>
                  <c:pt idx="0">
                    <c:v>0.87775753926406241</c:v>
                  </c:pt>
                  <c:pt idx="1">
                    <c:v>0.49000344141505348</c:v>
                  </c:pt>
                  <c:pt idx="2">
                    <c:v>2.9408629486203046</c:v>
                  </c:pt>
                  <c:pt idx="3">
                    <c:v>0.52422937225912591</c:v>
                  </c:pt>
                  <c:pt idx="4">
                    <c:v>0.52579296601080638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'T2 -Dose-ResponseAvgs'!$A$17:$A$21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'T2 -Dose-ResponseAvgs'!$D$3:$D$7</c:f>
              <c:numCache>
                <c:formatCode>General</c:formatCode>
                <c:ptCount val="5"/>
                <c:pt idx="0">
                  <c:v>1.1635105640707388</c:v>
                </c:pt>
                <c:pt idx="1">
                  <c:v>1.2632367685825776</c:v>
                </c:pt>
                <c:pt idx="2">
                  <c:v>5.6780208019615603</c:v>
                </c:pt>
                <c:pt idx="3">
                  <c:v>1.532879866080505</c:v>
                </c:pt>
                <c:pt idx="4">
                  <c:v>1.7215974394471327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C-8F48-BF26-62C6EFE88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67983"/>
        <c:axId val="612314943"/>
      </c:scatterChart>
      <c:valAx>
        <c:axId val="6123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Micafungin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14943"/>
        <c:crosses val="autoZero"/>
        <c:crossBetween val="midCat"/>
      </c:valAx>
      <c:valAx>
        <c:axId val="61231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6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'T2 -Dose-ResponseAvgs'!$E$10:$E$14</c:f>
                <c:numCache>
                  <c:formatCode>General</c:formatCode>
                  <c:ptCount val="5"/>
                  <c:pt idx="0">
                    <c:v>0.82758566167331804</c:v>
                  </c:pt>
                  <c:pt idx="1">
                    <c:v>0.63558819378539444</c:v>
                  </c:pt>
                  <c:pt idx="2">
                    <c:v>1.578180186184712</c:v>
                  </c:pt>
                  <c:pt idx="3">
                    <c:v>0.51075327464848341</c:v>
                  </c:pt>
                  <c:pt idx="4">
                    <c:v>1.0433505377100061</c:v>
                  </c:pt>
                </c:numCache>
              </c:numRef>
            </c:plus>
            <c:minus>
              <c:numRef>
                <c:f>'T2 -Dose-ResponseAvgs'!$E$10:$E$14</c:f>
                <c:numCache>
                  <c:formatCode>General</c:formatCode>
                  <c:ptCount val="5"/>
                  <c:pt idx="0">
                    <c:v>0.82758566167331804</c:v>
                  </c:pt>
                  <c:pt idx="1">
                    <c:v>0.63558819378539444</c:v>
                  </c:pt>
                  <c:pt idx="2">
                    <c:v>1.578180186184712</c:v>
                  </c:pt>
                  <c:pt idx="3">
                    <c:v>0.51075327464848341</c:v>
                  </c:pt>
                  <c:pt idx="4">
                    <c:v>1.0433505377100061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'T2 -Dose-ResponseAvgs'!$A$17:$A$21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'T2 -Dose-ResponseAvgs'!$E$3:$E$7</c:f>
              <c:numCache>
                <c:formatCode>General</c:formatCode>
                <c:ptCount val="5"/>
                <c:pt idx="0">
                  <c:v>1.2450460019517138</c:v>
                </c:pt>
                <c:pt idx="1">
                  <c:v>1.2711337934473392</c:v>
                </c:pt>
                <c:pt idx="2">
                  <c:v>2.7028786198039136</c:v>
                </c:pt>
                <c:pt idx="3">
                  <c:v>1.8057000358604403</c:v>
                </c:pt>
                <c:pt idx="4">
                  <c:v>2.632205566754855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6-7C4C-B8B0-00863DC3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350431"/>
        <c:axId val="584847551"/>
      </c:scatterChart>
      <c:valAx>
        <c:axId val="58435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Micafungin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47551"/>
        <c:crosses val="autoZero"/>
        <c:crossBetween val="midCat"/>
      </c:valAx>
      <c:valAx>
        <c:axId val="5848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5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'T2 -Dose-ResponseAvgs'!$F$10:$F$14</c:f>
                <c:numCache>
                  <c:formatCode>General</c:formatCode>
                  <c:ptCount val="5"/>
                  <c:pt idx="0">
                    <c:v>1.1484934450106024</c:v>
                  </c:pt>
                  <c:pt idx="1">
                    <c:v>1.2296601390391442</c:v>
                  </c:pt>
                  <c:pt idx="2">
                    <c:v>1.9894160250737853</c:v>
                  </c:pt>
                  <c:pt idx="3">
                    <c:v>1.3807117139426155</c:v>
                  </c:pt>
                  <c:pt idx="4">
                    <c:v>0.73392231620301107</c:v>
                  </c:pt>
                </c:numCache>
              </c:numRef>
            </c:plus>
            <c:minus>
              <c:numRef>
                <c:f>'T2 -Dose-ResponseAvgs'!$F$10:$F$14</c:f>
                <c:numCache>
                  <c:formatCode>General</c:formatCode>
                  <c:ptCount val="5"/>
                  <c:pt idx="0">
                    <c:v>1.1484934450106024</c:v>
                  </c:pt>
                  <c:pt idx="1">
                    <c:v>1.2296601390391442</c:v>
                  </c:pt>
                  <c:pt idx="2">
                    <c:v>1.9894160250737853</c:v>
                  </c:pt>
                  <c:pt idx="3">
                    <c:v>1.3807117139426155</c:v>
                  </c:pt>
                  <c:pt idx="4">
                    <c:v>0.73392231620301107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'T2 -Dose-ResponseAvgs'!$A$17:$A$21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'T2 -Dose-ResponseAvgs'!$F$3:$F$7</c:f>
              <c:numCache>
                <c:formatCode>General</c:formatCode>
                <c:ptCount val="5"/>
                <c:pt idx="0">
                  <c:v>1.8553948563802778</c:v>
                </c:pt>
                <c:pt idx="1">
                  <c:v>2.6388006444038838</c:v>
                </c:pt>
                <c:pt idx="2">
                  <c:v>4.0495729914570164</c:v>
                </c:pt>
                <c:pt idx="3">
                  <c:v>2.7243468400983728</c:v>
                </c:pt>
                <c:pt idx="4">
                  <c:v>2.6527682900797296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A-1345-8725-34D2203CB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25503"/>
        <c:axId val="900108767"/>
      </c:scatterChart>
      <c:valAx>
        <c:axId val="9000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Micafungin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08767"/>
        <c:crosses val="autoZero"/>
        <c:crossBetween val="midCat"/>
      </c:valAx>
      <c:valAx>
        <c:axId val="9001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90</a:t>
            </a:r>
            <a:r>
              <a:rPr lang="en-US" baseline="0"/>
              <a:t> minutes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'T2 -Dose-ResponseAvgs'!$G$10:$G$14</c:f>
                <c:numCache>
                  <c:formatCode>General</c:formatCode>
                  <c:ptCount val="5"/>
                  <c:pt idx="0">
                    <c:v>2.1177591969085898</c:v>
                  </c:pt>
                  <c:pt idx="1">
                    <c:v>1.2572852875807614</c:v>
                  </c:pt>
                  <c:pt idx="2">
                    <c:v>4.0447789050295473</c:v>
                  </c:pt>
                  <c:pt idx="3">
                    <c:v>2.7914373247890154</c:v>
                  </c:pt>
                  <c:pt idx="4">
                    <c:v>1.7233702111526339</c:v>
                  </c:pt>
                </c:numCache>
              </c:numRef>
            </c:plus>
            <c:minus>
              <c:numRef>
                <c:f>'T2 -Dose-ResponseAvgs'!$G$10:$G$14</c:f>
                <c:numCache>
                  <c:formatCode>General</c:formatCode>
                  <c:ptCount val="5"/>
                  <c:pt idx="0">
                    <c:v>2.1177591969085898</c:v>
                  </c:pt>
                  <c:pt idx="1">
                    <c:v>1.2572852875807614</c:v>
                  </c:pt>
                  <c:pt idx="2">
                    <c:v>4.0447789050295473</c:v>
                  </c:pt>
                  <c:pt idx="3">
                    <c:v>2.7914373247890154</c:v>
                  </c:pt>
                  <c:pt idx="4">
                    <c:v>1.7233702111526339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'T2 -Dose-ResponseAvgs'!$A$17:$A$21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'T2 -Dose-ResponseAvgs'!$G$3:$G$7</c:f>
              <c:numCache>
                <c:formatCode>General</c:formatCode>
                <c:ptCount val="5"/>
                <c:pt idx="0">
                  <c:v>3.0623909654205845</c:v>
                </c:pt>
                <c:pt idx="1">
                  <c:v>2.8459221610295078</c:v>
                </c:pt>
                <c:pt idx="2">
                  <c:v>7.4946817776745505</c:v>
                </c:pt>
                <c:pt idx="3">
                  <c:v>4.9583023728954192</c:v>
                </c:pt>
                <c:pt idx="4">
                  <c:v>4.0307461237402649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9-9A47-A458-224288A49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30319"/>
        <c:axId val="585040351"/>
      </c:scatterChart>
      <c:valAx>
        <c:axId val="58493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Micafungin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40351"/>
        <c:crosses val="autoZero"/>
        <c:crossBetween val="midCat"/>
      </c:valAx>
      <c:valAx>
        <c:axId val="58504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3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'T2 -Dose-ResponseAvgs'!$C$10:$C$14</c:f>
                <c:numCache>
                  <c:formatCode>General</c:formatCode>
                  <c:ptCount val="5"/>
                  <c:pt idx="0">
                    <c:v>0.5501806191749764</c:v>
                  </c:pt>
                  <c:pt idx="1">
                    <c:v>0.54181943369528862</c:v>
                  </c:pt>
                  <c:pt idx="2">
                    <c:v>1.6481933484491584</c:v>
                  </c:pt>
                  <c:pt idx="3">
                    <c:v>0.75759522111470678</c:v>
                  </c:pt>
                  <c:pt idx="4">
                    <c:v>0.56762423999270062</c:v>
                  </c:pt>
                </c:numCache>
              </c:numRef>
            </c:plus>
            <c:minus>
              <c:numRef>
                <c:f>'T2 -Dose-ResponseAvgs'!$C$10:$C$14</c:f>
                <c:numCache>
                  <c:formatCode>General</c:formatCode>
                  <c:ptCount val="5"/>
                  <c:pt idx="0">
                    <c:v>0.5501806191749764</c:v>
                  </c:pt>
                  <c:pt idx="1">
                    <c:v>0.54181943369528862</c:v>
                  </c:pt>
                  <c:pt idx="2">
                    <c:v>1.6481933484491584</c:v>
                  </c:pt>
                  <c:pt idx="3">
                    <c:v>0.75759522111470678</c:v>
                  </c:pt>
                  <c:pt idx="4">
                    <c:v>0.56762423999270062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'T2 -Dose-ResponseAvgs'!$A$17:$A$21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'T2 -Dose-ResponseAvgs'!$C$3:$C$7</c:f>
              <c:numCache>
                <c:formatCode>General</c:formatCode>
                <c:ptCount val="5"/>
                <c:pt idx="0">
                  <c:v>0.97727997006321277</c:v>
                </c:pt>
                <c:pt idx="1">
                  <c:v>1.1346406331771703</c:v>
                </c:pt>
                <c:pt idx="2">
                  <c:v>2.4170599570110811</c:v>
                </c:pt>
                <c:pt idx="3">
                  <c:v>1.5099367752995696</c:v>
                </c:pt>
                <c:pt idx="4">
                  <c:v>1.3577277130115386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F3-4B7A-958D-A2EBE85A0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081616"/>
        <c:axId val="1527089104"/>
      </c:scatterChart>
      <c:valAx>
        <c:axId val="152708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Micafungin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89104"/>
        <c:crosses val="autoZero"/>
        <c:crossBetween val="midCat"/>
      </c:valAx>
      <c:valAx>
        <c:axId val="15270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8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39688</xdr:colOff>
      <xdr:row>28</xdr:row>
      <xdr:rowOff>15192</xdr:rowOff>
    </xdr:from>
    <xdr:to>
      <xdr:col>13</xdr:col>
      <xdr:colOff>553357</xdr:colOff>
      <xdr:row>43</xdr:row>
      <xdr:rowOff>2947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3AF3C4-0063-414A-84FC-0989F416F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67468</xdr:colOff>
      <xdr:row>28</xdr:row>
      <xdr:rowOff>22423</xdr:rowOff>
    </xdr:from>
    <xdr:to>
      <xdr:col>13</xdr:col>
      <xdr:colOff>573483</xdr:colOff>
      <xdr:row>43</xdr:row>
      <xdr:rowOff>86717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060CC0-B6E7-4E1F-B2FC-BFB9C6E95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41954</xdr:colOff>
      <xdr:row>28</xdr:row>
      <xdr:rowOff>26533</xdr:rowOff>
    </xdr:from>
    <xdr:to>
      <xdr:col>13</xdr:col>
      <xdr:colOff>588509</xdr:colOff>
      <xdr:row>43</xdr:row>
      <xdr:rowOff>14286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BAFC08-05F2-4795-8E69-E62E89A7D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20751</xdr:colOff>
      <xdr:row>28</xdr:row>
      <xdr:rowOff>96724</xdr:rowOff>
    </xdr:from>
    <xdr:to>
      <xdr:col>13</xdr:col>
      <xdr:colOff>594065</xdr:colOff>
      <xdr:row>43</xdr:row>
      <xdr:rowOff>125298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528AF-D9FC-4182-878A-172282AE2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607219</xdr:colOff>
      <xdr:row>28</xdr:row>
      <xdr:rowOff>30956</xdr:rowOff>
    </xdr:from>
    <xdr:to>
      <xdr:col>13</xdr:col>
      <xdr:colOff>597694</xdr:colOff>
      <xdr:row>43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14B16-6A50-4AC6-AFB2-2075B8D39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69850</xdr:colOff>
      <xdr:row>1</xdr:row>
      <xdr:rowOff>76200</xdr:rowOff>
    </xdr:from>
    <xdr:to>
      <xdr:col>16</xdr:col>
      <xdr:colOff>453230</xdr:colOff>
      <xdr:row>17</xdr:row>
      <xdr:rowOff>57943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D2A4A-7A06-4A62-AF14-F4A96933A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47625</xdr:colOff>
      <xdr:row>32</xdr:row>
      <xdr:rowOff>169182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C14C92-CD00-4278-91C0-4EE2426A4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16</xdr:col>
      <xdr:colOff>40878</xdr:colOff>
      <xdr:row>48</xdr:row>
      <xdr:rowOff>135732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F81B9E-0E2A-4C2B-A2CC-91EE78D5A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34924</xdr:colOff>
      <xdr:row>15</xdr:row>
      <xdr:rowOff>42184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4BA478-35A4-4F15-8BE5-04B88DA41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97971</xdr:colOff>
      <xdr:row>32</xdr:row>
      <xdr:rowOff>83004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4B1A0D-F165-4AE0-8913-2CEA8C8B1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34</xdr:row>
      <xdr:rowOff>0</xdr:rowOff>
    </xdr:from>
    <xdr:to>
      <xdr:col>24</xdr:col>
      <xdr:colOff>96838</xdr:colOff>
      <xdr:row>48</xdr:row>
      <xdr:rowOff>100013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0E22EA-3AB8-4A46-9A29-5D35572D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239889</xdr:colOff>
      <xdr:row>15</xdr:row>
      <xdr:rowOff>159456</xdr:rowOff>
    </xdr:from>
    <xdr:to>
      <xdr:col>12</xdr:col>
      <xdr:colOff>684389</xdr:colOff>
      <xdr:row>30</xdr:row>
      <xdr:rowOff>45156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34D098-FA3A-6441-83FA-D2924E09A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105833</xdr:colOff>
      <xdr:row>1</xdr:row>
      <xdr:rowOff>18345</xdr:rowOff>
    </xdr:from>
    <xdr:to>
      <xdr:col>18</xdr:col>
      <xdr:colOff>550333</xdr:colOff>
      <xdr:row>15</xdr:row>
      <xdr:rowOff>94545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C84375-AFA8-8C4F-8F91-B607F2D2E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281781</xdr:colOff>
      <xdr:row>15</xdr:row>
      <xdr:rowOff>164306</xdr:rowOff>
    </xdr:from>
    <xdr:to>
      <xdr:col>18</xdr:col>
      <xdr:colOff>726281</xdr:colOff>
      <xdr:row>30</xdr:row>
      <xdr:rowOff>50006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4D4553-6826-224D-838E-E6F0A60A5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599282</xdr:colOff>
      <xdr:row>0</xdr:row>
      <xdr:rowOff>164307</xdr:rowOff>
    </xdr:from>
    <xdr:to>
      <xdr:col>24</xdr:col>
      <xdr:colOff>218282</xdr:colOff>
      <xdr:row>15</xdr:row>
      <xdr:rowOff>50007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C9C08C-146D-C940-B021-A75EF4A84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95250</xdr:colOff>
      <xdr:row>1</xdr:row>
      <xdr:rowOff>25400</xdr:rowOff>
    </xdr:from>
    <xdr:to>
      <xdr:col>13</xdr:col>
      <xdr:colOff>95250</xdr:colOff>
      <xdr:row>16</xdr:row>
      <xdr:rowOff>47172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A9D5C-A570-441A-83AF-AA7BB7D82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p\AppData\Roaming\Microsoft\AddIns\XRealStats.xlam" TargetMode="External"/><Relationship Id="rId1" Type="http://schemas.openxmlformats.org/officeDocument/2006/relationships/externalLinkPath" Target="file:///C:\Users\josep\AppData\Roaming\Microsoft\AddIn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QCRIT"/>
      <definedName name="QDI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7A59-14E1-427C-B8CA-0CE6AA6B615B}">
  <dimension ref="A1:C6"/>
  <sheetViews>
    <sheetView zoomScale="170" zoomScaleNormal="170" workbookViewId="0">
      <selection activeCell="G10" sqref="G10"/>
    </sheetView>
  </sheetViews>
  <sheetFormatPr defaultColWidth="8.85546875" defaultRowHeight="15" x14ac:dyDescent="0.25"/>
  <cols>
    <col min="1" max="1" width="23.42578125" customWidth="1"/>
  </cols>
  <sheetData>
    <row r="1" spans="1:3" x14ac:dyDescent="0.25">
      <c r="A1" s="23" t="s">
        <v>111</v>
      </c>
      <c r="C1" t="s">
        <v>124</v>
      </c>
    </row>
    <row r="2" spans="1:3" x14ac:dyDescent="0.25">
      <c r="A2" s="24" t="s">
        <v>112</v>
      </c>
      <c r="C2" t="s">
        <v>123</v>
      </c>
    </row>
    <row r="3" spans="1:3" x14ac:dyDescent="0.25">
      <c r="A3" s="1" t="s">
        <v>113</v>
      </c>
    </row>
    <row r="4" spans="1:3" x14ac:dyDescent="0.25">
      <c r="A4" s="1" t="s">
        <v>114</v>
      </c>
      <c r="C4" t="s">
        <v>125</v>
      </c>
    </row>
    <row r="5" spans="1:3" x14ac:dyDescent="0.25">
      <c r="A5" s="1" t="s">
        <v>115</v>
      </c>
    </row>
    <row r="6" spans="1:3" x14ac:dyDescent="0.25">
      <c r="A6" s="25" t="s">
        <v>116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EF72-1F43-4501-AA8F-8079621CA6B9}">
  <dimension ref="A1:X97"/>
  <sheetViews>
    <sheetView topLeftCell="A13" zoomScale="110" zoomScaleNormal="110" workbookViewId="0">
      <selection activeCell="I21" sqref="I21:N25"/>
    </sheetView>
  </sheetViews>
  <sheetFormatPr defaultColWidth="8.85546875" defaultRowHeight="15" x14ac:dyDescent="0.25"/>
  <cols>
    <col min="1" max="1" width="10.5703125" customWidth="1"/>
    <col min="3" max="7" width="8.5703125" customWidth="1"/>
    <col min="8" max="8" width="10.5703125" customWidth="1"/>
    <col min="16" max="21" width="15.5703125" bestFit="1" customWidth="1"/>
  </cols>
  <sheetData>
    <row r="1" spans="1:24" x14ac:dyDescent="0.25">
      <c r="A1" s="50" t="s">
        <v>0</v>
      </c>
      <c r="B1" s="50"/>
      <c r="C1" s="50"/>
      <c r="D1" s="50"/>
      <c r="E1" s="50"/>
      <c r="F1" s="50"/>
      <c r="G1" s="51"/>
      <c r="H1" s="49" t="s">
        <v>1</v>
      </c>
      <c r="I1" s="50"/>
      <c r="J1" s="50"/>
      <c r="K1" s="50"/>
      <c r="L1" s="50"/>
      <c r="M1" s="50"/>
      <c r="N1" s="51"/>
      <c r="O1" s="3"/>
      <c r="P1" s="3" t="s">
        <v>108</v>
      </c>
      <c r="Q1" s="4"/>
      <c r="U1" s="3"/>
      <c r="V1" s="3"/>
      <c r="W1" s="4"/>
      <c r="X1" t="s">
        <v>109</v>
      </c>
    </row>
    <row r="2" spans="1:24" x14ac:dyDescent="0.25">
      <c r="A2" t="s">
        <v>110</v>
      </c>
      <c r="B2">
        <v>0</v>
      </c>
      <c r="C2">
        <v>10</v>
      </c>
      <c r="D2">
        <v>20</v>
      </c>
      <c r="E2" s="18">
        <v>30</v>
      </c>
      <c r="F2">
        <v>60</v>
      </c>
      <c r="G2" s="1">
        <v>90</v>
      </c>
      <c r="H2" t="s">
        <v>110</v>
      </c>
      <c r="I2">
        <v>0</v>
      </c>
      <c r="J2">
        <v>10</v>
      </c>
      <c r="K2">
        <v>20</v>
      </c>
      <c r="L2" s="18">
        <v>30</v>
      </c>
      <c r="M2">
        <v>60</v>
      </c>
      <c r="N2" s="1">
        <v>90</v>
      </c>
      <c r="O2" s="3"/>
      <c r="P2" s="3"/>
      <c r="Q2" s="4"/>
      <c r="T2" s="3"/>
      <c r="U2" s="3"/>
      <c r="V2" s="3"/>
      <c r="W2" s="4"/>
    </row>
    <row r="3" spans="1:24" x14ac:dyDescent="0.25">
      <c r="A3" t="s">
        <v>49</v>
      </c>
      <c r="B3" s="14">
        <v>25.383318300455201</v>
      </c>
      <c r="C3" s="4">
        <v>23.673066023441201</v>
      </c>
      <c r="D3" s="4">
        <v>24.113104675743301</v>
      </c>
      <c r="E3" s="4">
        <v>23.3913111059302</v>
      </c>
      <c r="F3" s="4">
        <v>22.952396570969601</v>
      </c>
      <c r="G3" s="7">
        <v>22.6290874992178</v>
      </c>
      <c r="H3" s="8" t="s">
        <v>49</v>
      </c>
      <c r="I3" s="4">
        <v>20.688560604853201</v>
      </c>
      <c r="J3" s="4">
        <v>15.6724363276728</v>
      </c>
      <c r="K3" s="4">
        <v>16.523638725863801</v>
      </c>
      <c r="L3" s="4">
        <v>15.975282254985901</v>
      </c>
      <c r="M3" s="4">
        <v>15.633785579606201</v>
      </c>
      <c r="N3" s="7">
        <v>16.2631707075256</v>
      </c>
      <c r="O3" s="3"/>
      <c r="P3" s="21">
        <f t="shared" ref="P3:U3" si="0">B3-I3</f>
        <v>4.6947576956020001</v>
      </c>
      <c r="Q3" s="21">
        <f t="shared" si="0"/>
        <v>8.0006296957684011</v>
      </c>
      <c r="R3" s="21">
        <f t="shared" si="0"/>
        <v>7.5894659498795001</v>
      </c>
      <c r="S3" s="21">
        <f t="shared" si="0"/>
        <v>7.4160288509442989</v>
      </c>
      <c r="T3" s="21">
        <f t="shared" si="0"/>
        <v>7.3186109913633999</v>
      </c>
      <c r="U3" s="21">
        <f t="shared" si="0"/>
        <v>6.3659167916922001</v>
      </c>
      <c r="V3" s="3"/>
      <c r="W3" s="4"/>
    </row>
    <row r="4" spans="1:24" x14ac:dyDescent="0.25">
      <c r="A4" t="s">
        <v>50</v>
      </c>
      <c r="B4" s="4">
        <v>26.442571206241301</v>
      </c>
      <c r="C4" s="4">
        <v>23.160227004150599</v>
      </c>
      <c r="D4" s="4">
        <v>23.5362004067287</v>
      </c>
      <c r="E4" s="4">
        <v>23.047649081013599</v>
      </c>
      <c r="F4" s="4">
        <v>22.684159492537599</v>
      </c>
      <c r="G4" s="7">
        <v>22.4747881548153</v>
      </c>
      <c r="H4" s="8" t="s">
        <v>50</v>
      </c>
      <c r="I4" s="4">
        <v>19.9622937523487</v>
      </c>
      <c r="J4" s="4">
        <v>15.5596265903978</v>
      </c>
      <c r="K4" s="4">
        <v>16.684553241377301</v>
      </c>
      <c r="L4" s="4">
        <v>15.8625923810592</v>
      </c>
      <c r="M4" s="4">
        <v>15.827489941911301</v>
      </c>
      <c r="N4" s="7">
        <v>16.412650087948201</v>
      </c>
      <c r="O4" s="3"/>
      <c r="P4" s="21">
        <f t="shared" ref="P4:P17" si="1">B4-I4</f>
        <v>6.4802774538926009</v>
      </c>
      <c r="Q4" s="21">
        <f t="shared" ref="Q4:Q17" si="2">C4-J4</f>
        <v>7.6006004137527992</v>
      </c>
      <c r="R4" s="21">
        <f t="shared" ref="R4:R17" si="3">D4-K4</f>
        <v>6.8516471653513982</v>
      </c>
      <c r="S4" s="21">
        <f t="shared" ref="S4:S17" si="4">E4-L4</f>
        <v>7.1850566999543997</v>
      </c>
      <c r="T4" s="21">
        <f t="shared" ref="T4:T17" si="5">F4-M4</f>
        <v>6.8566695506262985</v>
      </c>
      <c r="U4" s="21">
        <f t="shared" ref="U4:U17" si="6">G4-N4</f>
        <v>6.0621380668670994</v>
      </c>
      <c r="V4" s="3"/>
      <c r="W4" s="4"/>
    </row>
    <row r="5" spans="1:24" x14ac:dyDescent="0.25">
      <c r="A5" t="s">
        <v>51</v>
      </c>
      <c r="B5" s="4">
        <v>25.383318300455201</v>
      </c>
      <c r="C5" s="4">
        <v>23.257551461342398</v>
      </c>
      <c r="D5" s="4">
        <v>23.7907676783467</v>
      </c>
      <c r="E5" s="4">
        <v>23.090582746880902</v>
      </c>
      <c r="F5" s="4">
        <v>22.835832295761499</v>
      </c>
      <c r="G5" s="7">
        <v>23.660099786909502</v>
      </c>
      <c r="H5" s="8" t="s">
        <v>51</v>
      </c>
      <c r="I5" s="4">
        <v>20.243621976749399</v>
      </c>
      <c r="J5" s="4">
        <v>15.846033353194599</v>
      </c>
      <c r="K5" s="4">
        <v>16.8583139215404</v>
      </c>
      <c r="L5" s="4">
        <v>16.021005494792199</v>
      </c>
      <c r="M5" s="4">
        <v>16.1681456470317</v>
      </c>
      <c r="N5" s="7">
        <v>16.625978642623799</v>
      </c>
      <c r="O5" s="3"/>
      <c r="P5" s="21">
        <f t="shared" si="1"/>
        <v>5.1396963237058024</v>
      </c>
      <c r="Q5" s="21">
        <f t="shared" si="2"/>
        <v>7.4115181081477992</v>
      </c>
      <c r="R5" s="21">
        <f t="shared" si="3"/>
        <v>6.9324537568063</v>
      </c>
      <c r="S5" s="21">
        <f t="shared" si="4"/>
        <v>7.0695772520887026</v>
      </c>
      <c r="T5" s="21">
        <f t="shared" si="5"/>
        <v>6.6676866487297985</v>
      </c>
      <c r="U5" s="21">
        <f t="shared" si="6"/>
        <v>7.0341211442857023</v>
      </c>
      <c r="V5" s="3"/>
      <c r="W5" s="4"/>
    </row>
    <row r="6" spans="1:24" x14ac:dyDescent="0.25">
      <c r="A6" t="s">
        <v>52</v>
      </c>
      <c r="B6" s="4">
        <v>23.040474673356599</v>
      </c>
      <c r="C6" s="4">
        <v>22.646040472593</v>
      </c>
      <c r="D6" s="4">
        <v>22.120539766884701</v>
      </c>
      <c r="E6" s="4">
        <v>22.186715413175001</v>
      </c>
      <c r="F6" s="4">
        <v>21.401064753710202</v>
      </c>
      <c r="G6" s="7">
        <v>21.1168483364204</v>
      </c>
      <c r="H6" s="8" t="s">
        <v>52</v>
      </c>
      <c r="I6" s="4">
        <v>15.271095353177399</v>
      </c>
      <c r="J6" s="4">
        <v>15.1851191647941</v>
      </c>
      <c r="K6" s="4">
        <v>15.920679854148901</v>
      </c>
      <c r="L6" s="4">
        <v>15.6521570343204</v>
      </c>
      <c r="M6" s="4">
        <v>15.6354768479383</v>
      </c>
      <c r="N6" s="7">
        <v>16.239389039902498</v>
      </c>
      <c r="O6" s="3"/>
      <c r="P6" s="21">
        <f t="shared" si="1"/>
        <v>7.7693793201791994</v>
      </c>
      <c r="Q6" s="21">
        <f t="shared" si="2"/>
        <v>7.4609213077989001</v>
      </c>
      <c r="R6" s="21">
        <f t="shared" si="3"/>
        <v>6.1998599127357998</v>
      </c>
      <c r="S6" s="21">
        <f t="shared" si="4"/>
        <v>6.5345583788546016</v>
      </c>
      <c r="T6" s="21">
        <f t="shared" si="5"/>
        <v>5.7655879057719019</v>
      </c>
      <c r="U6" s="21">
        <f t="shared" si="6"/>
        <v>4.8774592965179018</v>
      </c>
      <c r="V6" s="3"/>
      <c r="W6" s="4"/>
    </row>
    <row r="7" spans="1:24" x14ac:dyDescent="0.25">
      <c r="A7" t="s">
        <v>53</v>
      </c>
      <c r="B7" s="4">
        <v>22.845822893432601</v>
      </c>
      <c r="C7" s="4">
        <v>22.321646503149601</v>
      </c>
      <c r="D7" s="4">
        <v>22.580118353585299</v>
      </c>
      <c r="E7" s="4">
        <v>22.010939383403901</v>
      </c>
      <c r="F7" s="4">
        <v>21.171798167720102</v>
      </c>
      <c r="G7" s="7">
        <v>21.2502139735975</v>
      </c>
      <c r="H7" s="8" t="s">
        <v>53</v>
      </c>
      <c r="I7" s="4">
        <v>15.6830990211658</v>
      </c>
      <c r="J7" s="4">
        <v>15.105663904490299</v>
      </c>
      <c r="K7" s="4">
        <v>16.516666607535299</v>
      </c>
      <c r="L7" s="4">
        <v>15.9750186167437</v>
      </c>
      <c r="M7" s="4">
        <v>15.7993170538703</v>
      </c>
      <c r="N7" s="7">
        <v>16.191722315898499</v>
      </c>
      <c r="O7" s="3"/>
      <c r="P7" s="21">
        <f t="shared" si="1"/>
        <v>7.1627238722668007</v>
      </c>
      <c r="Q7" s="21">
        <f t="shared" si="2"/>
        <v>7.215982598659302</v>
      </c>
      <c r="R7" s="21">
        <f t="shared" si="3"/>
        <v>6.0634517460499993</v>
      </c>
      <c r="S7" s="21">
        <f t="shared" si="4"/>
        <v>6.0359207666602011</v>
      </c>
      <c r="T7" s="21">
        <f t="shared" si="5"/>
        <v>5.3724811138498012</v>
      </c>
      <c r="U7" s="21">
        <f t="shared" si="6"/>
        <v>5.0584916576990011</v>
      </c>
      <c r="V7" s="3"/>
      <c r="W7" s="4"/>
    </row>
    <row r="8" spans="1:24" x14ac:dyDescent="0.25">
      <c r="A8" t="s">
        <v>54</v>
      </c>
      <c r="B8" s="4">
        <v>23.183923491562599</v>
      </c>
      <c r="C8" s="4">
        <v>22.6544415339553</v>
      </c>
      <c r="D8" s="4">
        <v>22.0846008086979</v>
      </c>
      <c r="E8" s="4">
        <v>22.2639516254489</v>
      </c>
      <c r="F8" s="4">
        <v>22.2059254418287</v>
      </c>
      <c r="G8" s="7">
        <v>22.2703246871245</v>
      </c>
      <c r="H8" s="8" t="s">
        <v>54</v>
      </c>
      <c r="I8" s="4">
        <v>15.5479189355282</v>
      </c>
      <c r="J8" s="4">
        <v>15.1497875571787</v>
      </c>
      <c r="K8" s="4">
        <v>16.110540918867699</v>
      </c>
      <c r="L8" s="4">
        <v>15.7486039073348</v>
      </c>
      <c r="M8" s="4">
        <v>15.8866995188112</v>
      </c>
      <c r="N8" s="7">
        <v>16.218946020975501</v>
      </c>
      <c r="O8" s="3"/>
      <c r="P8" s="21">
        <f t="shared" si="1"/>
        <v>7.6360045560343988</v>
      </c>
      <c r="Q8" s="21">
        <f t="shared" si="2"/>
        <v>7.5046539767766003</v>
      </c>
      <c r="R8" s="21">
        <f t="shared" si="3"/>
        <v>5.9740598898302011</v>
      </c>
      <c r="S8" s="21">
        <f t="shared" si="4"/>
        <v>6.5153477181141</v>
      </c>
      <c r="T8" s="21">
        <f t="shared" si="5"/>
        <v>6.3192259230175001</v>
      </c>
      <c r="U8" s="21">
        <f t="shared" si="6"/>
        <v>6.0513786661489988</v>
      </c>
      <c r="V8" s="3"/>
      <c r="W8" s="4"/>
    </row>
    <row r="9" spans="1:24" x14ac:dyDescent="0.25">
      <c r="A9" t="s">
        <v>55</v>
      </c>
      <c r="B9" s="14">
        <v>19.395094468762</v>
      </c>
      <c r="C9" s="4">
        <v>20.393093154195199</v>
      </c>
      <c r="D9" s="4">
        <v>19.464862454344701</v>
      </c>
      <c r="E9" s="4">
        <v>24.071321408826101</v>
      </c>
      <c r="F9" s="4">
        <v>20.258590198981999</v>
      </c>
      <c r="G9" s="7">
        <v>21.5315324164178</v>
      </c>
      <c r="H9" s="8" t="s">
        <v>55</v>
      </c>
      <c r="I9" s="4">
        <v>16.356446083795099</v>
      </c>
      <c r="J9" s="4">
        <v>15.713108203108201</v>
      </c>
      <c r="K9" s="4">
        <v>16.044005570590901</v>
      </c>
      <c r="L9" s="4">
        <v>17.1553940756624</v>
      </c>
      <c r="M9" s="4">
        <v>16.373439787762798</v>
      </c>
      <c r="N9" s="7">
        <v>18.315848418570301</v>
      </c>
      <c r="O9" s="3"/>
      <c r="P9" s="21">
        <f t="shared" si="1"/>
        <v>3.0386483849669013</v>
      </c>
      <c r="Q9" s="21">
        <f t="shared" si="2"/>
        <v>4.6799849510869986</v>
      </c>
      <c r="R9" s="21">
        <f t="shared" si="3"/>
        <v>3.4208568837537996</v>
      </c>
      <c r="S9" s="21">
        <f t="shared" si="4"/>
        <v>6.915927333163701</v>
      </c>
      <c r="T9" s="21">
        <f t="shared" si="5"/>
        <v>3.8851504112192004</v>
      </c>
      <c r="U9" s="21">
        <f t="shared" si="6"/>
        <v>3.2156839978474991</v>
      </c>
      <c r="V9" s="3"/>
      <c r="W9" s="4"/>
    </row>
    <row r="10" spans="1:24" x14ac:dyDescent="0.25">
      <c r="A10" t="s">
        <v>56</v>
      </c>
      <c r="B10" s="14">
        <v>19.395094468762</v>
      </c>
      <c r="C10" s="4">
        <v>20.290246996201699</v>
      </c>
      <c r="D10" s="4">
        <v>20.7577210348657</v>
      </c>
      <c r="E10" s="4">
        <v>20.770496733050599</v>
      </c>
      <c r="F10" s="4">
        <v>21.087979858004999</v>
      </c>
      <c r="G10" s="7">
        <v>21.388425565541699</v>
      </c>
      <c r="H10" s="8" t="s">
        <v>56</v>
      </c>
      <c r="I10" s="4">
        <v>16.355458067712298</v>
      </c>
      <c r="J10" s="4">
        <v>15.8715367899547</v>
      </c>
      <c r="K10" s="4">
        <v>16.355109614428802</v>
      </c>
      <c r="L10" s="4">
        <v>16.315833488576601</v>
      </c>
      <c r="M10" s="4">
        <v>16.4798964595774</v>
      </c>
      <c r="N10" s="7">
        <v>18.3098503949339</v>
      </c>
      <c r="O10" s="3"/>
      <c r="P10" s="21">
        <f t="shared" si="1"/>
        <v>3.0396364010497017</v>
      </c>
      <c r="Q10" s="21">
        <f t="shared" si="2"/>
        <v>4.418710206246999</v>
      </c>
      <c r="R10" s="21">
        <f t="shared" si="3"/>
        <v>4.402611420436898</v>
      </c>
      <c r="S10" s="21">
        <f t="shared" si="4"/>
        <v>4.4546632444739984</v>
      </c>
      <c r="T10" s="21">
        <f t="shared" si="5"/>
        <v>4.6080833984275991</v>
      </c>
      <c r="U10" s="21">
        <f t="shared" si="6"/>
        <v>3.0785751706077988</v>
      </c>
      <c r="V10" s="3"/>
      <c r="W10" s="4"/>
    </row>
    <row r="11" spans="1:24" x14ac:dyDescent="0.25">
      <c r="A11" t="s">
        <v>57</v>
      </c>
      <c r="B11" s="4">
        <v>20.435441859666401</v>
      </c>
      <c r="C11" s="4">
        <v>20.152559659388199</v>
      </c>
      <c r="D11" s="4">
        <v>21.516905947904</v>
      </c>
      <c r="E11" s="4">
        <v>21.648577338774299</v>
      </c>
      <c r="F11" s="4">
        <v>20.079266216994899</v>
      </c>
      <c r="G11" s="7">
        <v>21.634405297582799</v>
      </c>
      <c r="H11" s="8" t="s">
        <v>57</v>
      </c>
      <c r="I11" s="4">
        <v>16.316915994439899</v>
      </c>
      <c r="J11" s="4">
        <v>15.943910886677401</v>
      </c>
      <c r="K11" s="4">
        <v>16.3722481185543</v>
      </c>
      <c r="L11" s="4">
        <v>16.437873773236799</v>
      </c>
      <c r="M11" s="4">
        <v>17.431476447302799</v>
      </c>
      <c r="N11" s="7">
        <v>18.529775803889301</v>
      </c>
      <c r="O11" s="3"/>
      <c r="P11" s="21">
        <f t="shared" si="1"/>
        <v>4.118525865226502</v>
      </c>
      <c r="Q11" s="21">
        <f t="shared" si="2"/>
        <v>4.2086487727107986</v>
      </c>
      <c r="R11" s="21">
        <f t="shared" si="3"/>
        <v>5.1446578293497005</v>
      </c>
      <c r="S11" s="21">
        <f t="shared" si="4"/>
        <v>5.2107035655375</v>
      </c>
      <c r="T11" s="21">
        <f t="shared" si="5"/>
        <v>2.6477897696920998</v>
      </c>
      <c r="U11" s="21">
        <f t="shared" si="6"/>
        <v>3.1046294936934977</v>
      </c>
      <c r="V11" s="3"/>
      <c r="W11" s="4"/>
    </row>
    <row r="12" spans="1:24" x14ac:dyDescent="0.25">
      <c r="A12" t="s">
        <v>58</v>
      </c>
      <c r="B12" s="4">
        <v>21.055961994946099</v>
      </c>
      <c r="C12" s="4">
        <v>20.6348737946836</v>
      </c>
      <c r="D12" s="4">
        <v>21.046346294221301</v>
      </c>
      <c r="E12" s="4">
        <v>20.810604863898</v>
      </c>
      <c r="F12" s="4">
        <v>20.853484348575801</v>
      </c>
      <c r="G12" s="7">
        <v>20.814397960527</v>
      </c>
      <c r="H12" s="8" t="s">
        <v>58</v>
      </c>
      <c r="I12" s="4">
        <v>15.5934743297582</v>
      </c>
      <c r="J12" s="4">
        <v>15.9831012331375</v>
      </c>
      <c r="K12" s="4">
        <v>15.940949070404301</v>
      </c>
      <c r="L12" s="4">
        <v>15.5776329629074</v>
      </c>
      <c r="M12" s="4">
        <v>16.229327865291602</v>
      </c>
      <c r="N12" s="7">
        <v>18.058990272815102</v>
      </c>
      <c r="O12" s="3"/>
      <c r="P12" s="21">
        <f t="shared" si="1"/>
        <v>5.4624876651878989</v>
      </c>
      <c r="Q12" s="21">
        <f t="shared" si="2"/>
        <v>4.6517725615460996</v>
      </c>
      <c r="R12" s="21">
        <f t="shared" si="3"/>
        <v>5.1053972238170005</v>
      </c>
      <c r="S12" s="21">
        <f t="shared" si="4"/>
        <v>5.2329719009906004</v>
      </c>
      <c r="T12" s="21">
        <f t="shared" si="5"/>
        <v>4.6241564832841995</v>
      </c>
      <c r="U12" s="21">
        <f t="shared" si="6"/>
        <v>2.755407687711898</v>
      </c>
      <c r="V12" s="3"/>
      <c r="W12" s="4"/>
    </row>
    <row r="13" spans="1:24" x14ac:dyDescent="0.25">
      <c r="A13" t="s">
        <v>59</v>
      </c>
      <c r="B13" s="4">
        <v>20.6223611220626</v>
      </c>
      <c r="C13" s="4">
        <v>20.480159583865301</v>
      </c>
      <c r="D13" s="4">
        <v>20.511018907726498</v>
      </c>
      <c r="E13" s="4">
        <v>20.477046596782799</v>
      </c>
      <c r="F13" s="4">
        <v>20.429798927601201</v>
      </c>
      <c r="G13" s="7">
        <v>20.580919993298501</v>
      </c>
      <c r="H13" s="8" t="s">
        <v>59</v>
      </c>
      <c r="I13" s="4">
        <v>15.7972613213439</v>
      </c>
      <c r="J13" s="4">
        <v>16.127849361285602</v>
      </c>
      <c r="K13" s="4">
        <v>15.715688591859299</v>
      </c>
      <c r="L13" s="4">
        <v>16.028855388404299</v>
      </c>
      <c r="M13" s="4">
        <v>16.5275914066772</v>
      </c>
      <c r="N13" s="7">
        <v>17.733864587876699</v>
      </c>
      <c r="O13" s="3"/>
      <c r="P13" s="21">
        <f t="shared" si="1"/>
        <v>4.8250998007187</v>
      </c>
      <c r="Q13" s="21">
        <f t="shared" si="2"/>
        <v>4.3523102225796997</v>
      </c>
      <c r="R13" s="21">
        <f t="shared" si="3"/>
        <v>4.7953303158671989</v>
      </c>
      <c r="S13" s="21">
        <f t="shared" si="4"/>
        <v>4.4481912083784998</v>
      </c>
      <c r="T13" s="21">
        <f t="shared" si="5"/>
        <v>3.9022075209240015</v>
      </c>
      <c r="U13" s="21">
        <f t="shared" si="6"/>
        <v>2.847055405421802</v>
      </c>
      <c r="V13" s="3"/>
      <c r="W13" s="4"/>
    </row>
    <row r="14" spans="1:24" x14ac:dyDescent="0.25">
      <c r="A14" t="s">
        <v>60</v>
      </c>
      <c r="B14" s="4">
        <v>20.894490993532301</v>
      </c>
      <c r="C14" s="4">
        <v>20.5603999894529</v>
      </c>
      <c r="D14" s="4">
        <v>20.7733600152817</v>
      </c>
      <c r="E14" s="4">
        <v>20.624913303799701</v>
      </c>
      <c r="F14" s="4">
        <v>20.588159905045298</v>
      </c>
      <c r="G14" s="7">
        <v>20.6818293452578</v>
      </c>
      <c r="H14" s="8" t="s">
        <v>60</v>
      </c>
      <c r="I14" s="4">
        <v>15.7141875476535</v>
      </c>
      <c r="J14" s="4">
        <v>16.004820563686302</v>
      </c>
      <c r="K14" s="4">
        <v>15.714862602411699</v>
      </c>
      <c r="L14" s="4">
        <v>16.143956334885299</v>
      </c>
      <c r="M14" s="4">
        <v>16.467638269059901</v>
      </c>
      <c r="N14" s="7">
        <v>17.755675207029501</v>
      </c>
      <c r="O14" s="3"/>
      <c r="P14" s="21">
        <f t="shared" si="1"/>
        <v>5.1803034458788009</v>
      </c>
      <c r="Q14" s="21">
        <f t="shared" si="2"/>
        <v>4.5555794257665987</v>
      </c>
      <c r="R14" s="21">
        <f t="shared" si="3"/>
        <v>5.0584974128700004</v>
      </c>
      <c r="S14" s="21">
        <f t="shared" si="4"/>
        <v>4.480956968914402</v>
      </c>
      <c r="T14" s="21">
        <f t="shared" si="5"/>
        <v>4.1205216359853978</v>
      </c>
      <c r="U14" s="21">
        <f t="shared" si="6"/>
        <v>2.9261541382282985</v>
      </c>
      <c r="V14" s="3"/>
      <c r="W14" s="4"/>
    </row>
    <row r="15" spans="1:24" x14ac:dyDescent="0.25">
      <c r="A15" t="s">
        <v>61</v>
      </c>
      <c r="B15" s="4">
        <v>24.838399628081</v>
      </c>
      <c r="C15" s="4">
        <v>24.8670009679992</v>
      </c>
      <c r="D15" s="4">
        <v>25.483756686881399</v>
      </c>
      <c r="E15" s="4">
        <v>24.250727637541701</v>
      </c>
      <c r="F15" s="4">
        <v>23.124747372838801</v>
      </c>
      <c r="G15" s="7">
        <v>22.930422700685501</v>
      </c>
      <c r="H15" s="8" t="s">
        <v>61</v>
      </c>
      <c r="I15" s="4">
        <v>15.5218475901136</v>
      </c>
      <c r="J15" s="4">
        <v>16.311624062751399</v>
      </c>
      <c r="K15" s="4">
        <v>16.2701079029063</v>
      </c>
      <c r="L15" s="4">
        <v>16.149593500315198</v>
      </c>
      <c r="M15" s="4">
        <v>15.1027222917843</v>
      </c>
      <c r="N15" s="7">
        <v>15.807618043605199</v>
      </c>
      <c r="O15" s="3"/>
      <c r="P15" s="21">
        <f t="shared" si="1"/>
        <v>9.3165520379673996</v>
      </c>
      <c r="Q15" s="21">
        <f t="shared" si="2"/>
        <v>8.555376905247801</v>
      </c>
      <c r="R15" s="21">
        <f t="shared" si="3"/>
        <v>9.2136487839750991</v>
      </c>
      <c r="S15" s="21">
        <f t="shared" si="4"/>
        <v>8.1011341372265022</v>
      </c>
      <c r="T15" s="21">
        <f t="shared" si="5"/>
        <v>8.0220250810545011</v>
      </c>
      <c r="U15" s="21">
        <f t="shared" si="6"/>
        <v>7.1228046570803016</v>
      </c>
      <c r="V15" s="3"/>
      <c r="W15" s="4"/>
    </row>
    <row r="16" spans="1:24" x14ac:dyDescent="0.25">
      <c r="A16" t="s">
        <v>62</v>
      </c>
      <c r="B16" s="4">
        <v>24.826486477381501</v>
      </c>
      <c r="C16" s="4">
        <v>24.7731573550635</v>
      </c>
      <c r="D16" s="4">
        <v>25.233929146477401</v>
      </c>
      <c r="E16" s="4">
        <v>24.203799136204101</v>
      </c>
      <c r="F16" s="4">
        <v>22.5479938050836</v>
      </c>
      <c r="G16" s="7">
        <v>23.083519394745199</v>
      </c>
      <c r="H16" s="8" t="s">
        <v>62</v>
      </c>
      <c r="I16" s="4">
        <v>16.020863687226601</v>
      </c>
      <c r="J16" s="4">
        <v>16.6802958179493</v>
      </c>
      <c r="K16" s="4">
        <v>16.3140429443655</v>
      </c>
      <c r="L16" s="4">
        <v>16.1037949845607</v>
      </c>
      <c r="M16" s="4">
        <v>15.1097817284816</v>
      </c>
      <c r="N16" s="7">
        <v>15.850956566487399</v>
      </c>
      <c r="O16" s="3"/>
      <c r="P16" s="21">
        <f t="shared" si="1"/>
        <v>8.8056227901548993</v>
      </c>
      <c r="Q16" s="21">
        <f t="shared" si="2"/>
        <v>8.0928615371141994</v>
      </c>
      <c r="R16" s="21">
        <f t="shared" si="3"/>
        <v>8.9198862021119005</v>
      </c>
      <c r="S16" s="21">
        <f t="shared" si="4"/>
        <v>8.1000041516434003</v>
      </c>
      <c r="T16" s="21">
        <f t="shared" si="5"/>
        <v>7.4382120766019995</v>
      </c>
      <c r="U16" s="21">
        <f t="shared" si="6"/>
        <v>7.2325628282577998</v>
      </c>
      <c r="V16" s="3"/>
      <c r="W16" s="4"/>
    </row>
    <row r="17" spans="1:23" x14ac:dyDescent="0.25">
      <c r="A17" t="s">
        <v>63</v>
      </c>
      <c r="B17" s="4">
        <v>24.878509076190099</v>
      </c>
      <c r="C17" s="4">
        <v>25.2964777339227</v>
      </c>
      <c r="D17" s="4">
        <v>25.315717516657099</v>
      </c>
      <c r="E17" s="4">
        <v>24.201027512935902</v>
      </c>
      <c r="F17" s="4">
        <v>22.989083081778901</v>
      </c>
      <c r="G17" s="7">
        <v>23.376732539681601</v>
      </c>
      <c r="H17" s="8" t="s">
        <v>63</v>
      </c>
      <c r="I17" s="4">
        <v>15.909131814134</v>
      </c>
      <c r="J17" s="4">
        <v>16.224727222294</v>
      </c>
      <c r="K17" s="4">
        <v>16.2676793363207</v>
      </c>
      <c r="L17" s="4">
        <v>16.214629266949601</v>
      </c>
      <c r="M17" s="4">
        <v>15.1069899669699</v>
      </c>
      <c r="N17" s="7">
        <v>15.801041148239401</v>
      </c>
      <c r="O17" s="3"/>
      <c r="P17" s="21">
        <f t="shared" si="1"/>
        <v>8.9693772620560992</v>
      </c>
      <c r="Q17" s="21">
        <f t="shared" si="2"/>
        <v>9.0717505116287001</v>
      </c>
      <c r="R17" s="21">
        <f t="shared" si="3"/>
        <v>9.0480381803363983</v>
      </c>
      <c r="S17" s="21">
        <f t="shared" si="4"/>
        <v>7.986398245986301</v>
      </c>
      <c r="T17" s="21">
        <f t="shared" si="5"/>
        <v>7.8820931148090008</v>
      </c>
      <c r="U17" s="21">
        <f t="shared" si="6"/>
        <v>7.5756913914422004</v>
      </c>
      <c r="V17" s="3"/>
      <c r="W17" s="4"/>
    </row>
    <row r="18" spans="1:23" x14ac:dyDescent="0.25">
      <c r="E18" s="4"/>
      <c r="F18" s="4"/>
      <c r="G18" s="1"/>
      <c r="H18" s="8"/>
      <c r="J18" s="4"/>
      <c r="N18" s="1"/>
      <c r="O18" s="3"/>
      <c r="P18" s="3"/>
      <c r="Q18" s="4"/>
      <c r="T18" s="3"/>
      <c r="U18" s="3"/>
      <c r="V18" s="3"/>
      <c r="W18" s="4"/>
    </row>
    <row r="19" spans="1:23" x14ac:dyDescent="0.25">
      <c r="A19" s="50" t="s">
        <v>0</v>
      </c>
      <c r="B19" s="50"/>
      <c r="C19" s="50"/>
      <c r="D19" s="50"/>
      <c r="E19" s="50"/>
      <c r="F19" s="50"/>
      <c r="G19" s="51"/>
      <c r="H19" s="49" t="s">
        <v>117</v>
      </c>
      <c r="I19" s="50"/>
      <c r="J19" s="50"/>
      <c r="K19" s="50"/>
      <c r="L19" s="50"/>
      <c r="M19" s="50"/>
      <c r="N19" s="51"/>
      <c r="O19" s="3"/>
      <c r="P19" s="3"/>
      <c r="Q19" s="4"/>
      <c r="T19" s="3"/>
      <c r="U19" s="3"/>
      <c r="V19" s="3"/>
      <c r="W19" s="4"/>
    </row>
    <row r="20" spans="1:23" x14ac:dyDescent="0.25">
      <c r="A20" t="s">
        <v>110</v>
      </c>
      <c r="B20">
        <v>0</v>
      </c>
      <c r="C20">
        <v>10</v>
      </c>
      <c r="D20">
        <v>20</v>
      </c>
      <c r="E20" s="18">
        <v>30</v>
      </c>
      <c r="F20">
        <v>60</v>
      </c>
      <c r="G20" s="1">
        <v>90</v>
      </c>
      <c r="H20" t="s">
        <v>110</v>
      </c>
      <c r="I20">
        <v>0</v>
      </c>
      <c r="J20">
        <v>10</v>
      </c>
      <c r="K20">
        <v>20</v>
      </c>
      <c r="L20" s="18">
        <v>30</v>
      </c>
      <c r="M20">
        <v>60</v>
      </c>
      <c r="N20" s="1">
        <v>90</v>
      </c>
      <c r="O20" s="3"/>
      <c r="P20" s="22">
        <f>2^P3</f>
        <v>25.8978009609603</v>
      </c>
      <c r="Q20" s="22">
        <f t="shared" ref="Q20:U20" si="7">2^Q3</f>
        <v>256.11176118122859</v>
      </c>
      <c r="R20" s="22">
        <f t="shared" si="7"/>
        <v>192.60027459977232</v>
      </c>
      <c r="S20" s="22">
        <f t="shared" si="7"/>
        <v>170.78398101423707</v>
      </c>
      <c r="T20" s="22">
        <f t="shared" si="7"/>
        <v>159.63254404392998</v>
      </c>
      <c r="U20" s="22">
        <f t="shared" si="7"/>
        <v>82.476819313493934</v>
      </c>
      <c r="V20" s="3"/>
      <c r="W20" s="4"/>
    </row>
    <row r="21" spans="1:23" x14ac:dyDescent="0.25">
      <c r="A21" t="s">
        <v>49</v>
      </c>
      <c r="B21">
        <v>1</v>
      </c>
      <c r="C21" s="5">
        <f>2^-((C3-J3)-($B3-$I3))</f>
        <v>0.10111913971273905</v>
      </c>
      <c r="D21" s="5">
        <f t="shared" ref="D21:G21" si="8">2^-((D3-K3)-($B3-$I3))</f>
        <v>0.13446398773198276</v>
      </c>
      <c r="E21" s="5">
        <f t="shared" si="8"/>
        <v>0.15164069139951356</v>
      </c>
      <c r="F21" s="5">
        <f t="shared" si="8"/>
        <v>0.16223384220346301</v>
      </c>
      <c r="G21" s="6">
        <f t="shared" si="8"/>
        <v>0.31400096628996921</v>
      </c>
      <c r="H21" s="8" t="s">
        <v>98</v>
      </c>
      <c r="I21" s="5">
        <f>AVERAGE(B21:B23)</f>
        <v>1</v>
      </c>
      <c r="J21" s="5">
        <f>AVERAGE(C21:C23)</f>
        <v>0.25605940778426445</v>
      </c>
      <c r="K21" s="5">
        <f>AVERAGE(D21:D23)</f>
        <v>0.39871069076682392</v>
      </c>
      <c r="L21" s="5">
        <f>AVERAGE(E21:E23)</f>
        <v>0.34254262808726327</v>
      </c>
      <c r="M21" s="5">
        <f t="shared" ref="M21:N21" si="9">AVERAGE(F21:F23)</f>
        <v>0.42645187344644908</v>
      </c>
      <c r="N21" s="5">
        <f t="shared" si="9"/>
        <v>0.63972831708851541</v>
      </c>
      <c r="O21" s="3"/>
      <c r="P21" s="22">
        <f t="shared" ref="P21:U21" si="10">2^P4</f>
        <v>89.28076314895614</v>
      </c>
      <c r="Q21" s="22">
        <f t="shared" si="10"/>
        <v>194.09248016441398</v>
      </c>
      <c r="R21" s="22">
        <f t="shared" si="10"/>
        <v>115.49184424310641</v>
      </c>
      <c r="S21" s="22">
        <f t="shared" si="10"/>
        <v>145.51829153637919</v>
      </c>
      <c r="T21" s="22">
        <f t="shared" si="10"/>
        <v>115.89460112152774</v>
      </c>
      <c r="U21" s="22">
        <f t="shared" si="10"/>
        <v>66.8167574567901</v>
      </c>
      <c r="V21" s="3"/>
      <c r="W21" s="4"/>
    </row>
    <row r="22" spans="1:23" x14ac:dyDescent="0.25">
      <c r="A22" t="s">
        <v>50</v>
      </c>
      <c r="B22">
        <v>1</v>
      </c>
      <c r="C22" s="5">
        <f t="shared" ref="C22:C35" si="11">2^-((C4-J4)-($B4-$I4))</f>
        <v>0.45999084082663699</v>
      </c>
      <c r="D22" s="5">
        <f t="shared" ref="D22:D35" si="12">2^-((D4-K4)-($B4-$I4))</f>
        <v>0.77304820729179069</v>
      </c>
      <c r="E22" s="5">
        <f t="shared" ref="E22:E35" si="13">2^-((E4-L4)-($B4-$I4))</f>
        <v>0.61353636169262016</v>
      </c>
      <c r="F22" s="5">
        <f t="shared" ref="F22:F35" si="14">2^-((F4-M4)-($B4-$I4))</f>
        <v>0.77036171042459334</v>
      </c>
      <c r="G22" s="6">
        <f t="shared" ref="G22:G35" si="15">2^-((G4-N4)-($B4-$I4))</f>
        <v>1.336203170390202</v>
      </c>
      <c r="H22" s="8" t="s">
        <v>99</v>
      </c>
      <c r="I22" s="5">
        <f>AVERAGE(B24:B26)</f>
        <v>1</v>
      </c>
      <c r="J22" s="5">
        <f t="shared" ref="J22:N22" si="16">AVERAGE(C24:C26)</f>
        <v>1.0991529795405517</v>
      </c>
      <c r="K22" s="5">
        <f t="shared" si="16"/>
        <v>2.7583172710291084</v>
      </c>
      <c r="L22" s="5">
        <f t="shared" si="16"/>
        <v>2.2372412971692368</v>
      </c>
      <c r="M22" s="5">
        <f t="shared" si="16"/>
        <v>3.3201164314076443</v>
      </c>
      <c r="N22" s="5">
        <f t="shared" si="16"/>
        <v>4.907188384981624</v>
      </c>
      <c r="O22" s="3"/>
      <c r="P22" s="22">
        <f t="shared" ref="P22:U22" si="17">2^P5</f>
        <v>35.253542325433088</v>
      </c>
      <c r="Q22" s="22">
        <f t="shared" si="17"/>
        <v>170.25084023723971</v>
      </c>
      <c r="R22" s="22">
        <f t="shared" si="17"/>
        <v>122.14523357875218</v>
      </c>
      <c r="S22" s="22">
        <f t="shared" si="17"/>
        <v>134.32436913352399</v>
      </c>
      <c r="T22" s="22">
        <f t="shared" si="17"/>
        <v>101.6655192107785</v>
      </c>
      <c r="U22" s="22">
        <f t="shared" si="17"/>
        <v>131.06340829465938</v>
      </c>
      <c r="V22" s="3"/>
      <c r="W22" s="4"/>
    </row>
    <row r="23" spans="1:23" x14ac:dyDescent="0.25">
      <c r="A23" t="s">
        <v>51</v>
      </c>
      <c r="B23">
        <v>1</v>
      </c>
      <c r="C23" s="5">
        <f t="shared" si="11"/>
        <v>0.20706824281341735</v>
      </c>
      <c r="D23" s="5">
        <f t="shared" si="12"/>
        <v>0.28861987727669824</v>
      </c>
      <c r="E23" s="5">
        <f t="shared" si="13"/>
        <v>0.26245083116965617</v>
      </c>
      <c r="F23" s="5">
        <f t="shared" si="14"/>
        <v>0.34676006771129092</v>
      </c>
      <c r="G23" s="6">
        <f t="shared" si="15"/>
        <v>0.26898081458537498</v>
      </c>
      <c r="H23" s="8" t="s">
        <v>100</v>
      </c>
      <c r="I23" s="5">
        <f>AVERAGE(B27:B29)</f>
        <v>1</v>
      </c>
      <c r="J23" s="5">
        <f t="shared" ref="J23:N23" si="18">AVERAGE(C27:C29)</f>
        <v>0.54815586982748954</v>
      </c>
      <c r="K23" s="5">
        <f t="shared" si="18"/>
        <v>0.5490222619833266</v>
      </c>
      <c r="L23" s="5">
        <f t="shared" si="18"/>
        <v>0.30403491494067758</v>
      </c>
      <c r="M23" s="5">
        <f t="shared" si="18"/>
        <v>1.221645126682614</v>
      </c>
      <c r="N23" s="5">
        <f t="shared" si="18"/>
        <v>1.2924156085071772</v>
      </c>
      <c r="O23" s="3"/>
      <c r="P23" s="22">
        <f t="shared" ref="P23:U23" si="19">2^P6</f>
        <v>218.18064588212187</v>
      </c>
      <c r="Q23" s="22">
        <f t="shared" si="19"/>
        <v>176.1818268549122</v>
      </c>
      <c r="R23" s="22">
        <f t="shared" si="19"/>
        <v>73.509556515026446</v>
      </c>
      <c r="S23" s="22">
        <f t="shared" si="19"/>
        <v>92.70391609554747</v>
      </c>
      <c r="T23" s="22">
        <f t="shared" si="19"/>
        <v>54.402004529746776</v>
      </c>
      <c r="U23" s="22">
        <f t="shared" si="19"/>
        <v>29.394193642218962</v>
      </c>
      <c r="V23" s="3"/>
      <c r="W23" s="4"/>
    </row>
    <row r="24" spans="1:23" x14ac:dyDescent="0.25">
      <c r="A24" t="s">
        <v>52</v>
      </c>
      <c r="B24">
        <v>1</v>
      </c>
      <c r="C24" s="5">
        <f t="shared" si="11"/>
        <v>1.2383833779961664</v>
      </c>
      <c r="D24" s="5">
        <f t="shared" si="12"/>
        <v>2.9680582529092323</v>
      </c>
      <c r="E24" s="5">
        <f t="shared" si="13"/>
        <v>2.3535213513229456</v>
      </c>
      <c r="F24" s="5">
        <f t="shared" si="14"/>
        <v>4.0105258577893323</v>
      </c>
      <c r="G24" s="6">
        <f t="shared" si="15"/>
        <v>7.4225763270725782</v>
      </c>
      <c r="H24" s="8" t="s">
        <v>101</v>
      </c>
      <c r="I24" s="5">
        <f>AVERAGE(B30:B32)</f>
        <v>1</v>
      </c>
      <c r="J24" s="5">
        <f t="shared" ref="J24:N24" si="20">AVERAGE(C30:C32)</f>
        <v>1.5612622677734294</v>
      </c>
      <c r="K24" s="5">
        <f t="shared" si="20"/>
        <v>1.1299284313176898</v>
      </c>
      <c r="L24" s="5">
        <f t="shared" si="20"/>
        <v>1.3649222536086532</v>
      </c>
      <c r="M24" s="5">
        <f t="shared" si="20"/>
        <v>1.9228364374481011</v>
      </c>
      <c r="N24" s="5">
        <f t="shared" si="20"/>
        <v>5.0800341777798286</v>
      </c>
      <c r="O24" s="3"/>
      <c r="P24" s="22">
        <f t="shared" ref="P24:U24" si="21">2^P7</f>
        <v>143.28302315946885</v>
      </c>
      <c r="Q24" s="22">
        <f t="shared" si="21"/>
        <v>148.67132444821419</v>
      </c>
      <c r="R24" s="22">
        <f t="shared" si="21"/>
        <v>66.877626702274185</v>
      </c>
      <c r="S24" s="22">
        <f t="shared" si="21"/>
        <v>65.613499608496113</v>
      </c>
      <c r="T24" s="22">
        <f t="shared" si="21"/>
        <v>41.426473652811517</v>
      </c>
      <c r="U24" s="22">
        <f t="shared" si="21"/>
        <v>33.324045730803292</v>
      </c>
      <c r="V24" s="3"/>
      <c r="W24" s="4"/>
    </row>
    <row r="25" spans="1:23" x14ac:dyDescent="0.25">
      <c r="A25" t="s">
        <v>53</v>
      </c>
      <c r="B25">
        <v>1</v>
      </c>
      <c r="C25" s="5">
        <f t="shared" si="11"/>
        <v>0.9637569564356564</v>
      </c>
      <c r="D25" s="5">
        <f t="shared" si="12"/>
        <v>2.1424657276989842</v>
      </c>
      <c r="E25" s="5">
        <f t="shared" si="13"/>
        <v>2.1837430409048864</v>
      </c>
      <c r="F25" s="5">
        <f t="shared" si="14"/>
        <v>3.4587308676162114</v>
      </c>
      <c r="G25" s="6">
        <f t="shared" si="15"/>
        <v>4.2996887087759674</v>
      </c>
      <c r="H25" s="8" t="s">
        <v>102</v>
      </c>
      <c r="I25" s="5">
        <f>AVERAGE(B33:B35)</f>
        <v>1</v>
      </c>
      <c r="J25" s="5">
        <f t="shared" ref="J25:N25" si="22">AVERAGE(C33:C35)</f>
        <v>1.421769325390329</v>
      </c>
      <c r="K25" s="5">
        <f t="shared" si="22"/>
        <v>0.98157416525674535</v>
      </c>
      <c r="L25" s="5">
        <f t="shared" si="22"/>
        <v>1.9764889159527375</v>
      </c>
      <c r="M25" s="5">
        <f t="shared" si="22"/>
        <v>2.3859244129165798</v>
      </c>
      <c r="N25" s="5">
        <f t="shared" si="22"/>
        <v>3.3925883387457776</v>
      </c>
      <c r="O25" s="3"/>
      <c r="P25" s="22">
        <f t="shared" ref="P25:U25" si="23">2^P8</f>
        <v>198.91448898015798</v>
      </c>
      <c r="Q25" s="22">
        <f t="shared" si="23"/>
        <v>181.60422749989516</v>
      </c>
      <c r="R25" s="22">
        <f t="shared" si="23"/>
        <v>62.859543497417178</v>
      </c>
      <c r="S25" s="22">
        <f t="shared" si="23"/>
        <v>91.477670219212172</v>
      </c>
      <c r="T25" s="22">
        <f t="shared" si="23"/>
        <v>79.850300012973733</v>
      </c>
      <c r="U25" s="22">
        <f t="shared" si="23"/>
        <v>66.320301764296147</v>
      </c>
      <c r="V25" s="3"/>
      <c r="W25" s="4"/>
    </row>
    <row r="26" spans="1:23" x14ac:dyDescent="0.25">
      <c r="A26" t="s">
        <v>54</v>
      </c>
      <c r="B26">
        <v>1</v>
      </c>
      <c r="C26" s="5">
        <f t="shared" si="11"/>
        <v>1.0953186041898324</v>
      </c>
      <c r="D26" s="5">
        <f t="shared" si="12"/>
        <v>3.1644278324791082</v>
      </c>
      <c r="E26" s="5">
        <f t="shared" si="13"/>
        <v>2.1744594992798785</v>
      </c>
      <c r="F26" s="5">
        <f t="shared" si="14"/>
        <v>2.4910925688173888</v>
      </c>
      <c r="G26" s="6">
        <f t="shared" si="15"/>
        <v>2.9993001190963282</v>
      </c>
      <c r="H26" s="8"/>
      <c r="I26" s="5"/>
      <c r="J26" s="5"/>
      <c r="K26" s="5"/>
      <c r="L26" s="5"/>
      <c r="M26" s="5"/>
      <c r="N26" s="5"/>
      <c r="O26" s="3"/>
      <c r="P26" s="22">
        <f t="shared" ref="P26:U26" si="24">2^P9</f>
        <v>8.2172085649285922</v>
      </c>
      <c r="Q26" s="22">
        <f t="shared" si="24"/>
        <v>25.633968690684693</v>
      </c>
      <c r="R26" s="22">
        <f t="shared" si="24"/>
        <v>10.70977958632729</v>
      </c>
      <c r="S26" s="22">
        <f t="shared" si="24"/>
        <v>120.75401372512577</v>
      </c>
      <c r="T26" s="22">
        <f t="shared" si="24"/>
        <v>14.775657358742476</v>
      </c>
      <c r="U26" s="22">
        <f t="shared" si="24"/>
        <v>9.290034780468579</v>
      </c>
      <c r="V26" s="3"/>
      <c r="W26" s="4"/>
    </row>
    <row r="27" spans="1:23" x14ac:dyDescent="0.25">
      <c r="A27" t="s">
        <v>55</v>
      </c>
      <c r="B27">
        <v>1</v>
      </c>
      <c r="C27" s="5">
        <f t="shared" si="11"/>
        <v>0.3205593587197717</v>
      </c>
      <c r="D27" s="5">
        <f t="shared" si="12"/>
        <v>0.76726215499515449</v>
      </c>
      <c r="E27" s="5">
        <f t="shared" si="13"/>
        <v>6.8049154735622702E-2</v>
      </c>
      <c r="F27" s="5">
        <f t="shared" si="14"/>
        <v>0.55613150504377573</v>
      </c>
      <c r="G27" s="6">
        <f t="shared" si="15"/>
        <v>0.88451860074889022</v>
      </c>
      <c r="H27" s="8"/>
      <c r="I27" s="20">
        <v>0</v>
      </c>
      <c r="J27" s="20">
        <v>10</v>
      </c>
      <c r="K27" s="20">
        <v>20</v>
      </c>
      <c r="L27" s="18">
        <v>30</v>
      </c>
      <c r="M27" s="20">
        <v>60</v>
      </c>
      <c r="N27" s="19">
        <v>90</v>
      </c>
      <c r="O27" s="3"/>
      <c r="P27" s="22">
        <f t="shared" ref="P27:U27" si="25">2^P10</f>
        <v>8.2228379700638978</v>
      </c>
      <c r="Q27" s="22">
        <f t="shared" si="25"/>
        <v>21.38771135131941</v>
      </c>
      <c r="R27" s="22">
        <f t="shared" si="25"/>
        <v>21.150376212874509</v>
      </c>
      <c r="S27" s="22">
        <f t="shared" si="25"/>
        <v>21.927405962095538</v>
      </c>
      <c r="T27" s="22">
        <f t="shared" si="25"/>
        <v>24.387727035413807</v>
      </c>
      <c r="U27" s="22">
        <f t="shared" si="25"/>
        <v>8.4477970196792516</v>
      </c>
      <c r="V27" s="3"/>
      <c r="W27" s="4"/>
    </row>
    <row r="28" spans="1:23" x14ac:dyDescent="0.25">
      <c r="A28" t="s">
        <v>56</v>
      </c>
      <c r="B28">
        <v>1</v>
      </c>
      <c r="C28" s="5">
        <f t="shared" si="11"/>
        <v>0.38446553887855001</v>
      </c>
      <c r="D28" s="5">
        <f t="shared" si="12"/>
        <v>0.38877974969818963</v>
      </c>
      <c r="E28" s="5">
        <f t="shared" si="13"/>
        <v>0.37500276978855479</v>
      </c>
      <c r="F28" s="5">
        <f t="shared" si="14"/>
        <v>0.33717114998553921</v>
      </c>
      <c r="G28" s="6">
        <f t="shared" si="15"/>
        <v>0.97337068479612976</v>
      </c>
      <c r="H28" s="8" t="s">
        <v>104</v>
      </c>
      <c r="I28" s="5">
        <f>AVERAGE(I21:I25)</f>
        <v>1</v>
      </c>
      <c r="J28" s="5">
        <f t="shared" ref="J28:N28" si="26">AVERAGE(J21:J25)</f>
        <v>0.97727997006321277</v>
      </c>
      <c r="K28" s="5">
        <f t="shared" si="26"/>
        <v>1.1635105640707388</v>
      </c>
      <c r="L28" s="5">
        <f t="shared" si="26"/>
        <v>1.2450460019517138</v>
      </c>
      <c r="M28" s="5">
        <f t="shared" si="26"/>
        <v>1.8553948563802778</v>
      </c>
      <c r="N28" s="5">
        <f t="shared" si="26"/>
        <v>3.0623909654205845</v>
      </c>
      <c r="O28" s="3"/>
      <c r="P28" s="22">
        <f t="shared" ref="P28:U28" si="27">2^P11</f>
        <v>17.370000196141092</v>
      </c>
      <c r="Q28" s="22">
        <f t="shared" si="27"/>
        <v>18.489685402214484</v>
      </c>
      <c r="R28" s="22">
        <f t="shared" si="27"/>
        <v>35.374989861384648</v>
      </c>
      <c r="S28" s="22">
        <f t="shared" si="27"/>
        <v>37.032077080595954</v>
      </c>
      <c r="T28" s="22">
        <f t="shared" si="27"/>
        <v>6.2670641890422143</v>
      </c>
      <c r="U28" s="22">
        <f t="shared" si="27"/>
        <v>8.6017457791764489</v>
      </c>
      <c r="V28" s="3"/>
      <c r="W28" s="4"/>
    </row>
    <row r="29" spans="1:23" x14ac:dyDescent="0.25">
      <c r="A29" t="s">
        <v>57</v>
      </c>
      <c r="B29">
        <v>1</v>
      </c>
      <c r="C29" s="5">
        <f t="shared" si="11"/>
        <v>0.93944271188414696</v>
      </c>
      <c r="D29" s="5">
        <f t="shared" si="12"/>
        <v>0.4910248812566359</v>
      </c>
      <c r="E29" s="5">
        <f t="shared" si="13"/>
        <v>0.46905282029785522</v>
      </c>
      <c r="F29" s="5">
        <f t="shared" si="14"/>
        <v>2.7716327250185269</v>
      </c>
      <c r="G29" s="6">
        <f t="shared" si="15"/>
        <v>2.0193575399765114</v>
      </c>
      <c r="O29" s="3"/>
      <c r="P29" s="22">
        <f t="shared" ref="P29:U29" si="28">2^P12</f>
        <v>44.093303549310349</v>
      </c>
      <c r="Q29" s="22">
        <f t="shared" si="28"/>
        <v>25.137557327215607</v>
      </c>
      <c r="R29" s="22">
        <f t="shared" si="28"/>
        <v>34.425297664368415</v>
      </c>
      <c r="S29" s="22">
        <f t="shared" si="28"/>
        <v>37.608110018574877</v>
      </c>
      <c r="T29" s="22">
        <f t="shared" si="28"/>
        <v>24.660950195730962</v>
      </c>
      <c r="U29" s="22">
        <f t="shared" si="28"/>
        <v>6.7524342535643909</v>
      </c>
      <c r="V29" s="3"/>
      <c r="W29" s="4"/>
    </row>
    <row r="30" spans="1:23" x14ac:dyDescent="0.25">
      <c r="A30" t="s">
        <v>58</v>
      </c>
      <c r="B30">
        <v>1</v>
      </c>
      <c r="C30" s="5">
        <f t="shared" si="11"/>
        <v>1.7540806759920136</v>
      </c>
      <c r="D30" s="5">
        <f t="shared" si="12"/>
        <v>1.2808401536335507</v>
      </c>
      <c r="E30" s="5">
        <f t="shared" si="13"/>
        <v>1.1724413571310122</v>
      </c>
      <c r="F30" s="5">
        <f t="shared" si="14"/>
        <v>1.7879807225328772</v>
      </c>
      <c r="G30" s="6">
        <f t="shared" si="15"/>
        <v>6.5299863565550345</v>
      </c>
      <c r="O30" s="3"/>
      <c r="P30" s="22">
        <f t="shared" ref="P30:U30" si="29">2^P13</f>
        <v>28.346521459054138</v>
      </c>
      <c r="Q30" s="22">
        <f t="shared" si="29"/>
        <v>20.425651955107256</v>
      </c>
      <c r="R30" s="22">
        <f t="shared" si="29"/>
        <v>27.767594860546335</v>
      </c>
      <c r="S30" s="22">
        <f t="shared" si="29"/>
        <v>21.829258319079063</v>
      </c>
      <c r="T30" s="22">
        <f t="shared" si="29"/>
        <v>14.951388041144009</v>
      </c>
      <c r="U30" s="22">
        <f t="shared" si="29"/>
        <v>7.1953028210907597</v>
      </c>
      <c r="V30" s="3"/>
      <c r="W30" s="4"/>
    </row>
    <row r="31" spans="1:23" x14ac:dyDescent="0.25">
      <c r="A31" t="s">
        <v>59</v>
      </c>
      <c r="B31">
        <v>1</v>
      </c>
      <c r="C31" s="5">
        <f t="shared" si="11"/>
        <v>1.3877902904326309</v>
      </c>
      <c r="D31" s="5">
        <f t="shared" si="12"/>
        <v>1.0208490004775448</v>
      </c>
      <c r="E31" s="5">
        <f t="shared" si="13"/>
        <v>1.298556324942973</v>
      </c>
      <c r="F31" s="5">
        <f t="shared" si="14"/>
        <v>1.8959123648619578</v>
      </c>
      <c r="G31" s="6">
        <f t="shared" si="15"/>
        <v>3.9395870005589271</v>
      </c>
      <c r="O31" s="3"/>
      <c r="P31" s="22">
        <f t="shared" ref="P31:U31" si="30">2^P14</f>
        <v>36.259910170644432</v>
      </c>
      <c r="Q31" s="22">
        <f t="shared" si="30"/>
        <v>23.516140961135022</v>
      </c>
      <c r="R31" s="22">
        <f t="shared" si="30"/>
        <v>33.324178666703588</v>
      </c>
      <c r="S31" s="22">
        <f t="shared" si="30"/>
        <v>22.330706160825358</v>
      </c>
      <c r="T31" s="22">
        <f t="shared" si="30"/>
        <v>17.394045837632959</v>
      </c>
      <c r="U31" s="22">
        <f t="shared" si="30"/>
        <v>7.6008150943400246</v>
      </c>
      <c r="V31" s="3"/>
      <c r="W31" s="4"/>
    </row>
    <row r="32" spans="1:23" x14ac:dyDescent="0.25">
      <c r="A32" t="s">
        <v>60</v>
      </c>
      <c r="B32">
        <v>1</v>
      </c>
      <c r="C32" s="5">
        <f t="shared" si="11"/>
        <v>1.5419158368956434</v>
      </c>
      <c r="D32" s="5">
        <f t="shared" si="12"/>
        <v>1.088096139841974</v>
      </c>
      <c r="E32" s="5">
        <f t="shared" si="13"/>
        <v>1.6237690787519741</v>
      </c>
      <c r="F32" s="5">
        <f t="shared" si="14"/>
        <v>2.084616224949468</v>
      </c>
      <c r="G32" s="6">
        <f t="shared" si="15"/>
        <v>4.770529176225522</v>
      </c>
      <c r="H32" s="8"/>
      <c r="N32" s="1"/>
      <c r="O32" s="3"/>
      <c r="P32" s="22">
        <f>2^P15</f>
        <v>637.61954285497006</v>
      </c>
      <c r="Q32" s="22">
        <f t="shared" ref="Q32:U32" si="31">2^Q15</f>
        <v>376.20544125817997</v>
      </c>
      <c r="R32" s="22">
        <f t="shared" si="31"/>
        <v>593.72406671411477</v>
      </c>
      <c r="S32" s="22">
        <f t="shared" si="31"/>
        <v>274.58978320899513</v>
      </c>
      <c r="T32" s="22">
        <f t="shared" si="31"/>
        <v>259.93824077379293</v>
      </c>
      <c r="U32" s="22">
        <f t="shared" si="31"/>
        <v>139.37274542134614</v>
      </c>
      <c r="V32" s="3"/>
      <c r="W32" s="4"/>
    </row>
    <row r="33" spans="1:23" x14ac:dyDescent="0.25">
      <c r="A33" t="s">
        <v>61</v>
      </c>
      <c r="B33">
        <v>1</v>
      </c>
      <c r="C33" s="5">
        <f t="shared" si="11"/>
        <v>1.6948706024094653</v>
      </c>
      <c r="D33" s="5">
        <f t="shared" si="12"/>
        <v>1.0739324521301434</v>
      </c>
      <c r="E33" s="5">
        <f t="shared" si="13"/>
        <v>2.3220803607600597</v>
      </c>
      <c r="F33" s="5">
        <f t="shared" si="14"/>
        <v>2.4529655234908225</v>
      </c>
      <c r="G33" s="6">
        <f t="shared" si="15"/>
        <v>4.5749227435202204</v>
      </c>
      <c r="O33" s="3"/>
      <c r="P33" s="22">
        <f t="shared" ref="P33:U33" si="32">2^P16</f>
        <v>447.46244395503953</v>
      </c>
      <c r="Q33" s="22">
        <f t="shared" si="32"/>
        <v>273.01975552104705</v>
      </c>
      <c r="R33" s="22">
        <f t="shared" si="32"/>
        <v>484.34330925324775</v>
      </c>
      <c r="S33" s="22">
        <f t="shared" si="32"/>
        <v>274.37479597648269</v>
      </c>
      <c r="T33" s="22">
        <f t="shared" si="32"/>
        <v>173.43028954875766</v>
      </c>
      <c r="U33" s="22">
        <f t="shared" si="32"/>
        <v>150.38979136199762</v>
      </c>
      <c r="V33" s="3"/>
      <c r="W33" s="4"/>
    </row>
    <row r="34" spans="1:23" x14ac:dyDescent="0.25">
      <c r="A34" t="s">
        <v>62</v>
      </c>
      <c r="B34">
        <v>1</v>
      </c>
      <c r="C34" s="5">
        <f t="shared" si="11"/>
        <v>1.6389379702618065</v>
      </c>
      <c r="D34" s="5">
        <f t="shared" si="12"/>
        <v>0.92385387679852482</v>
      </c>
      <c r="E34" s="5">
        <f t="shared" si="13"/>
        <v>1.6308438330224493</v>
      </c>
      <c r="F34" s="5">
        <f t="shared" si="14"/>
        <v>2.5800709041037568</v>
      </c>
      <c r="G34" s="6">
        <f t="shared" si="15"/>
        <v>2.9753511850945342</v>
      </c>
      <c r="H34" s="8"/>
      <c r="N34" s="1"/>
      <c r="O34" s="3"/>
      <c r="P34" s="22">
        <f t="shared" ref="P34:U34" si="33">2^P17</f>
        <v>501.24678296370723</v>
      </c>
      <c r="Q34" s="22">
        <f t="shared" si="33"/>
        <v>538.10746531933842</v>
      </c>
      <c r="R34" s="22">
        <f t="shared" si="33"/>
        <v>529.33534541781944</v>
      </c>
      <c r="S34" s="22">
        <f t="shared" si="33"/>
        <v>253.5977694637123</v>
      </c>
      <c r="T34" s="22">
        <f t="shared" si="33"/>
        <v>235.91005734549933</v>
      </c>
      <c r="U34" s="22">
        <f t="shared" si="33"/>
        <v>190.77011728981662</v>
      </c>
      <c r="V34" s="3"/>
      <c r="W34" s="4"/>
    </row>
    <row r="35" spans="1:23" x14ac:dyDescent="0.25">
      <c r="A35" t="s">
        <v>63</v>
      </c>
      <c r="B35">
        <v>1</v>
      </c>
      <c r="C35" s="5">
        <f t="shared" si="11"/>
        <v>0.93149940349971472</v>
      </c>
      <c r="D35" s="5">
        <f t="shared" si="12"/>
        <v>0.94693616684156778</v>
      </c>
      <c r="E35" s="5">
        <f t="shared" si="13"/>
        <v>1.9765425540757031</v>
      </c>
      <c r="F35" s="5">
        <f t="shared" si="14"/>
        <v>2.1247368111551603</v>
      </c>
      <c r="G35" s="6">
        <f t="shared" si="15"/>
        <v>2.6274910876225781</v>
      </c>
      <c r="H35" s="8"/>
      <c r="N35" s="1"/>
      <c r="O35" s="3"/>
      <c r="P35" s="22"/>
      <c r="Q35" s="22"/>
      <c r="R35" s="22"/>
      <c r="S35" s="22"/>
      <c r="T35" s="22"/>
      <c r="U35" s="22"/>
      <c r="V35" s="3"/>
      <c r="W35" s="4"/>
    </row>
    <row r="36" spans="1:23" x14ac:dyDescent="0.25">
      <c r="O36" s="3"/>
      <c r="P36" s="22"/>
      <c r="Q36" s="22"/>
      <c r="R36" s="22"/>
      <c r="S36" s="22"/>
      <c r="T36" s="22"/>
      <c r="U36" s="22"/>
      <c r="V36" s="3"/>
      <c r="W36" s="4"/>
    </row>
    <row r="37" spans="1:23" x14ac:dyDescent="0.25">
      <c r="B37">
        <f>_xlfn.STDEV.P(B21:B35)</f>
        <v>0</v>
      </c>
      <c r="C37">
        <f t="shared" ref="C37:G37" si="34">_xlfn.STDEV.P(C21:C35)</f>
        <v>0.5501806191749764</v>
      </c>
      <c r="D37">
        <f t="shared" si="34"/>
        <v>0.87775753926406241</v>
      </c>
      <c r="E37">
        <f t="shared" si="34"/>
        <v>0.82758566167331804</v>
      </c>
      <c r="F37">
        <f t="shared" si="34"/>
        <v>1.1484934450106024</v>
      </c>
      <c r="G37">
        <f t="shared" si="34"/>
        <v>2.1177591969085898</v>
      </c>
      <c r="O37" s="3"/>
      <c r="P37" s="22"/>
      <c r="Q37" s="22"/>
      <c r="R37" s="22"/>
      <c r="S37" s="22"/>
      <c r="T37" s="22"/>
      <c r="U37" s="22"/>
      <c r="V37" s="3"/>
      <c r="W37" s="4"/>
    </row>
    <row r="38" spans="1:23" x14ac:dyDescent="0.25">
      <c r="O38" s="3"/>
      <c r="P38" s="22"/>
      <c r="Q38" s="22"/>
      <c r="R38" s="22"/>
      <c r="S38" s="22"/>
      <c r="T38" s="22"/>
      <c r="U38" s="22"/>
      <c r="V38" s="3"/>
      <c r="W38" s="4"/>
    </row>
    <row r="39" spans="1:23" x14ac:dyDescent="0.25">
      <c r="O39" s="3"/>
      <c r="P39" s="22"/>
      <c r="Q39" s="22"/>
      <c r="R39" s="22"/>
      <c r="S39" s="22"/>
      <c r="T39" s="22"/>
      <c r="U39" s="22"/>
      <c r="V39" s="3"/>
      <c r="W39" s="4"/>
    </row>
    <row r="40" spans="1:23" x14ac:dyDescent="0.25">
      <c r="O40" s="3"/>
      <c r="P40" s="22"/>
      <c r="Q40" s="22"/>
      <c r="R40" s="22"/>
      <c r="S40" s="22"/>
      <c r="T40" s="22"/>
      <c r="U40" s="22"/>
      <c r="V40" s="3"/>
      <c r="W40" s="4"/>
    </row>
    <row r="41" spans="1:23" x14ac:dyDescent="0.25">
      <c r="O41" s="3"/>
      <c r="P41" s="3"/>
      <c r="Q41" s="4"/>
      <c r="T41" s="3"/>
      <c r="U41" s="3"/>
      <c r="V41" s="3"/>
      <c r="W41" s="4"/>
    </row>
    <row r="42" spans="1:23" x14ac:dyDescent="0.25">
      <c r="O42" s="3"/>
      <c r="P42" s="3"/>
      <c r="Q42" s="4"/>
      <c r="T42" s="3"/>
      <c r="U42" s="3"/>
      <c r="V42" s="3"/>
      <c r="W42" s="4"/>
    </row>
    <row r="43" spans="1:23" x14ac:dyDescent="0.25">
      <c r="O43" s="3"/>
      <c r="P43" s="3"/>
      <c r="Q43" s="4"/>
      <c r="T43" s="3"/>
      <c r="U43" s="3"/>
      <c r="V43" s="3"/>
      <c r="W43" s="4"/>
    </row>
    <row r="44" spans="1:23" x14ac:dyDescent="0.25">
      <c r="O44" s="3"/>
      <c r="P44" s="3"/>
      <c r="Q44" s="4"/>
      <c r="T44" s="3"/>
      <c r="U44" s="3"/>
      <c r="V44" s="3"/>
      <c r="W44" s="4"/>
    </row>
    <row r="45" spans="1:23" x14ac:dyDescent="0.25">
      <c r="O45" s="3"/>
      <c r="P45" s="3"/>
      <c r="Q45" s="4"/>
      <c r="T45" s="3"/>
      <c r="U45" s="3"/>
      <c r="V45" s="3"/>
      <c r="W45" s="4"/>
    </row>
    <row r="46" spans="1:23" x14ac:dyDescent="0.25">
      <c r="O46" s="3"/>
      <c r="P46" s="3"/>
      <c r="Q46" s="2"/>
      <c r="T46" s="3"/>
      <c r="U46" s="3"/>
      <c r="V46" s="3"/>
      <c r="W46" s="2"/>
    </row>
    <row r="47" spans="1:23" x14ac:dyDescent="0.25">
      <c r="O47" s="3"/>
      <c r="P47" s="3"/>
      <c r="Q47" s="2"/>
      <c r="T47" s="3"/>
      <c r="U47" s="3"/>
      <c r="V47" s="3"/>
      <c r="W47" s="2"/>
    </row>
    <row r="48" spans="1:23" x14ac:dyDescent="0.25">
      <c r="O48" s="3"/>
      <c r="P48" s="3"/>
      <c r="Q48" s="2"/>
      <c r="T48" s="3"/>
      <c r="U48" s="3"/>
      <c r="V48" s="3"/>
      <c r="W48" s="2"/>
    </row>
    <row r="49" spans="15:23" x14ac:dyDescent="0.25">
      <c r="O49" s="3"/>
      <c r="P49" s="3"/>
      <c r="Q49" s="4"/>
      <c r="T49" s="3"/>
      <c r="U49" s="3"/>
      <c r="V49" s="3"/>
      <c r="W49" s="4"/>
    </row>
    <row r="50" spans="15:23" x14ac:dyDescent="0.25">
      <c r="O50" s="3"/>
      <c r="P50" s="3"/>
      <c r="Q50" s="4"/>
      <c r="T50" s="3"/>
      <c r="U50" s="3"/>
      <c r="V50" s="3"/>
      <c r="W50" s="4"/>
    </row>
    <row r="51" spans="15:23" x14ac:dyDescent="0.25">
      <c r="O51" s="3"/>
      <c r="P51" s="3"/>
      <c r="Q51" s="4"/>
      <c r="T51" s="3"/>
      <c r="U51" s="3"/>
      <c r="V51" s="3"/>
      <c r="W51" s="4"/>
    </row>
    <row r="52" spans="15:23" x14ac:dyDescent="0.25">
      <c r="O52" s="3"/>
      <c r="P52" s="3"/>
      <c r="Q52" s="4"/>
      <c r="T52" s="3"/>
      <c r="U52" s="3"/>
      <c r="V52" s="3"/>
      <c r="W52" s="4"/>
    </row>
    <row r="53" spans="15:23" x14ac:dyDescent="0.25">
      <c r="O53" s="3"/>
      <c r="P53" s="3"/>
      <c r="Q53" s="4"/>
      <c r="T53" s="3"/>
      <c r="U53" s="3"/>
      <c r="V53" s="3"/>
      <c r="W53" s="4"/>
    </row>
    <row r="54" spans="15:23" x14ac:dyDescent="0.25">
      <c r="O54" s="3"/>
      <c r="P54" s="3"/>
      <c r="Q54" s="4"/>
      <c r="T54" s="3"/>
      <c r="U54" s="3"/>
      <c r="V54" s="3"/>
      <c r="W54" s="4"/>
    </row>
    <row r="55" spans="15:23" x14ac:dyDescent="0.25">
      <c r="O55" s="3"/>
      <c r="P55" s="3"/>
      <c r="Q55" s="4"/>
      <c r="T55" s="3"/>
      <c r="U55" s="3"/>
      <c r="V55" s="3"/>
      <c r="W55" s="4"/>
    </row>
    <row r="56" spans="15:23" x14ac:dyDescent="0.25">
      <c r="O56" s="3"/>
      <c r="P56" s="3"/>
      <c r="Q56" s="4"/>
      <c r="T56" s="3"/>
      <c r="U56" s="3"/>
      <c r="V56" s="3"/>
      <c r="W56" s="4"/>
    </row>
    <row r="57" spans="15:23" x14ac:dyDescent="0.25">
      <c r="O57" s="3"/>
      <c r="P57" s="3"/>
      <c r="Q57" s="4"/>
      <c r="T57" s="3"/>
      <c r="U57" s="3"/>
      <c r="V57" s="3"/>
      <c r="W57" s="4"/>
    </row>
    <row r="58" spans="15:23" x14ac:dyDescent="0.25">
      <c r="O58" s="3"/>
      <c r="P58" s="3"/>
      <c r="Q58" s="2"/>
      <c r="T58" s="3"/>
      <c r="U58" s="3"/>
      <c r="V58" s="3"/>
      <c r="W58" s="2"/>
    </row>
    <row r="59" spans="15:23" x14ac:dyDescent="0.25">
      <c r="O59" s="3"/>
      <c r="P59" s="3"/>
      <c r="Q59" s="2"/>
      <c r="T59" s="3"/>
      <c r="U59" s="3"/>
      <c r="V59" s="3"/>
      <c r="W59" s="2"/>
    </row>
    <row r="60" spans="15:23" x14ac:dyDescent="0.25">
      <c r="O60" s="3"/>
      <c r="P60" s="3"/>
      <c r="Q60" s="2"/>
      <c r="T60" s="3"/>
      <c r="U60" s="3"/>
      <c r="V60" s="3"/>
      <c r="W60" s="2"/>
    </row>
    <row r="61" spans="15:23" x14ac:dyDescent="0.25">
      <c r="O61" s="3"/>
      <c r="P61" s="3"/>
      <c r="Q61" s="4"/>
      <c r="T61" s="3"/>
      <c r="U61" s="3"/>
      <c r="V61" s="4"/>
    </row>
    <row r="62" spans="15:23" x14ac:dyDescent="0.25">
      <c r="O62" s="3"/>
      <c r="P62" s="3"/>
      <c r="Q62" s="4"/>
      <c r="T62" s="3"/>
      <c r="U62" s="3"/>
      <c r="V62" s="4"/>
    </row>
    <row r="63" spans="15:23" x14ac:dyDescent="0.25">
      <c r="O63" s="3"/>
      <c r="P63" s="3"/>
      <c r="Q63" s="4"/>
      <c r="T63" s="3"/>
      <c r="U63" s="3"/>
      <c r="V63" s="4"/>
    </row>
    <row r="64" spans="15:23" x14ac:dyDescent="0.25">
      <c r="O64" s="3"/>
      <c r="P64" s="3"/>
      <c r="Q64" s="4"/>
      <c r="T64" s="3"/>
      <c r="U64" s="3"/>
      <c r="V64" s="4"/>
    </row>
    <row r="65" spans="15:22" x14ac:dyDescent="0.25">
      <c r="O65" s="3"/>
      <c r="P65" s="3"/>
      <c r="Q65" s="4"/>
      <c r="T65" s="3"/>
      <c r="U65" s="3"/>
      <c r="V65" s="4"/>
    </row>
    <row r="66" spans="15:22" x14ac:dyDescent="0.25">
      <c r="O66" s="3"/>
      <c r="P66" s="3"/>
      <c r="Q66" s="4"/>
      <c r="T66" s="3"/>
      <c r="U66" s="3"/>
      <c r="V66" s="4"/>
    </row>
    <row r="67" spans="15:22" x14ac:dyDescent="0.25">
      <c r="O67" s="3"/>
      <c r="P67" s="3"/>
      <c r="Q67" s="4"/>
      <c r="T67" s="3"/>
      <c r="U67" s="3"/>
      <c r="V67" s="4"/>
    </row>
    <row r="68" spans="15:22" x14ac:dyDescent="0.25">
      <c r="O68" s="3"/>
      <c r="P68" s="3"/>
      <c r="Q68" s="4"/>
      <c r="T68" s="3"/>
      <c r="U68" s="3"/>
      <c r="V68" s="4"/>
    </row>
    <row r="69" spans="15:22" x14ac:dyDescent="0.25">
      <c r="O69" s="3"/>
      <c r="P69" s="3"/>
      <c r="Q69" s="4"/>
      <c r="T69" s="3"/>
      <c r="U69" s="3"/>
      <c r="V69" s="4"/>
    </row>
    <row r="70" spans="15:22" x14ac:dyDescent="0.25">
      <c r="O70" s="3"/>
      <c r="P70" s="3"/>
      <c r="Q70" s="4"/>
      <c r="T70" s="3"/>
      <c r="U70" s="3"/>
      <c r="V70" s="4"/>
    </row>
    <row r="71" spans="15:22" x14ac:dyDescent="0.25">
      <c r="O71" s="3"/>
      <c r="P71" s="3"/>
      <c r="Q71" s="4"/>
      <c r="T71" s="3"/>
      <c r="U71" s="3"/>
      <c r="V71" s="4"/>
    </row>
    <row r="72" spans="15:22" x14ac:dyDescent="0.25">
      <c r="O72" s="3"/>
      <c r="P72" s="3"/>
      <c r="Q72" s="4"/>
      <c r="T72" s="3"/>
      <c r="U72" s="3"/>
      <c r="V72" s="4"/>
    </row>
    <row r="73" spans="15:22" x14ac:dyDescent="0.25">
      <c r="O73" s="3"/>
      <c r="P73" s="3"/>
      <c r="Q73" s="4"/>
      <c r="T73" s="3"/>
      <c r="U73" s="3"/>
      <c r="V73" s="4"/>
    </row>
    <row r="74" spans="15:22" x14ac:dyDescent="0.25">
      <c r="O74" s="3"/>
      <c r="P74" s="3"/>
      <c r="Q74" s="4"/>
      <c r="T74" s="3"/>
      <c r="U74" s="3"/>
      <c r="V74" s="4"/>
    </row>
    <row r="75" spans="15:22" x14ac:dyDescent="0.25">
      <c r="O75" s="3"/>
      <c r="P75" s="3"/>
      <c r="Q75" s="4"/>
      <c r="T75" s="3"/>
      <c r="U75" s="3"/>
      <c r="V75" s="4"/>
    </row>
    <row r="76" spans="15:22" x14ac:dyDescent="0.25">
      <c r="O76" s="3"/>
      <c r="P76" s="3"/>
      <c r="Q76" s="4"/>
      <c r="T76" s="3"/>
      <c r="U76" s="3"/>
      <c r="V76" s="4"/>
    </row>
    <row r="77" spans="15:22" x14ac:dyDescent="0.25">
      <c r="O77" s="3"/>
      <c r="P77" s="3"/>
      <c r="Q77" s="4"/>
      <c r="T77" s="3"/>
      <c r="U77" s="3"/>
      <c r="V77" s="4"/>
    </row>
    <row r="78" spans="15:22" x14ac:dyDescent="0.25">
      <c r="O78" s="3"/>
      <c r="P78" s="3"/>
      <c r="Q78" s="4"/>
      <c r="T78" s="3"/>
      <c r="U78" s="3"/>
      <c r="V78" s="4"/>
    </row>
    <row r="79" spans="15:22" x14ac:dyDescent="0.25">
      <c r="O79" s="3"/>
      <c r="P79" s="3"/>
      <c r="Q79" s="4"/>
      <c r="T79" s="3"/>
      <c r="U79" s="3"/>
      <c r="V79" s="4"/>
    </row>
    <row r="80" spans="15:22" x14ac:dyDescent="0.25">
      <c r="O80" s="3"/>
      <c r="P80" s="3"/>
      <c r="Q80" s="4"/>
      <c r="T80" s="3"/>
      <c r="U80" s="3"/>
      <c r="V80" s="4"/>
    </row>
    <row r="81" spans="15:22" x14ac:dyDescent="0.25">
      <c r="O81" s="3"/>
      <c r="P81" s="3"/>
      <c r="Q81" s="4"/>
      <c r="T81" s="3"/>
      <c r="U81" s="3"/>
      <c r="V81" s="4"/>
    </row>
    <row r="82" spans="15:22" x14ac:dyDescent="0.25">
      <c r="O82" s="3"/>
      <c r="P82" s="3"/>
      <c r="Q82" s="4"/>
      <c r="T82" s="3"/>
      <c r="U82" s="3"/>
      <c r="V82" s="4"/>
    </row>
    <row r="83" spans="15:22" x14ac:dyDescent="0.25">
      <c r="O83" s="3"/>
      <c r="P83" s="3"/>
      <c r="Q83" s="2"/>
      <c r="T83" s="3"/>
      <c r="U83" s="3"/>
      <c r="V83" s="2"/>
    </row>
    <row r="84" spans="15:22" x14ac:dyDescent="0.25">
      <c r="O84" s="3"/>
      <c r="P84" s="3"/>
      <c r="Q84" s="2"/>
      <c r="T84" s="3"/>
      <c r="U84" s="3"/>
      <c r="V84" s="2"/>
    </row>
    <row r="85" spans="15:22" x14ac:dyDescent="0.25">
      <c r="O85" s="3"/>
      <c r="P85" s="3"/>
      <c r="Q85" s="2"/>
      <c r="T85" s="3"/>
      <c r="U85" s="3"/>
      <c r="V85" s="2"/>
    </row>
    <row r="86" spans="15:22" x14ac:dyDescent="0.25">
      <c r="O86" s="3"/>
      <c r="P86" s="3"/>
      <c r="Q86" s="4"/>
      <c r="T86" s="3"/>
      <c r="U86" s="3"/>
      <c r="V86" s="4"/>
    </row>
    <row r="87" spans="15:22" x14ac:dyDescent="0.25">
      <c r="O87" s="3"/>
      <c r="P87" s="3"/>
      <c r="Q87" s="4"/>
      <c r="T87" s="3"/>
      <c r="U87" s="3"/>
      <c r="V87" s="4"/>
    </row>
    <row r="88" spans="15:22" x14ac:dyDescent="0.25">
      <c r="O88" s="3"/>
      <c r="P88" s="3"/>
      <c r="Q88" s="4"/>
      <c r="T88" s="3"/>
      <c r="U88" s="3"/>
      <c r="V88" s="4"/>
    </row>
    <row r="89" spans="15:22" x14ac:dyDescent="0.25">
      <c r="O89" s="3"/>
      <c r="P89" s="3"/>
      <c r="Q89" s="4"/>
      <c r="T89" s="3"/>
      <c r="U89" s="3"/>
      <c r="V89" s="4"/>
    </row>
    <row r="90" spans="15:22" x14ac:dyDescent="0.25">
      <c r="O90" s="3"/>
      <c r="P90" s="3"/>
      <c r="Q90" s="4"/>
      <c r="T90" s="3"/>
      <c r="U90" s="3"/>
      <c r="V90" s="4"/>
    </row>
    <row r="91" spans="15:22" x14ac:dyDescent="0.25">
      <c r="O91" s="3"/>
      <c r="P91" s="3"/>
      <c r="Q91" s="4"/>
      <c r="T91" s="3"/>
      <c r="U91" s="3"/>
      <c r="V91" s="4"/>
    </row>
    <row r="92" spans="15:22" x14ac:dyDescent="0.25">
      <c r="O92" s="3"/>
      <c r="P92" s="3"/>
      <c r="Q92" s="4"/>
      <c r="T92" s="3"/>
      <c r="U92" s="3"/>
      <c r="V92" s="4"/>
    </row>
    <row r="93" spans="15:22" x14ac:dyDescent="0.25">
      <c r="O93" s="3"/>
      <c r="P93" s="3"/>
      <c r="Q93" s="4"/>
      <c r="T93" s="3"/>
      <c r="U93" s="3"/>
      <c r="V93" s="4"/>
    </row>
    <row r="94" spans="15:22" x14ac:dyDescent="0.25">
      <c r="O94" s="3"/>
      <c r="P94" s="3"/>
      <c r="Q94" s="4"/>
      <c r="T94" s="3"/>
      <c r="U94" s="3"/>
      <c r="V94" s="4"/>
    </row>
    <row r="95" spans="15:22" x14ac:dyDescent="0.25">
      <c r="O95" s="3"/>
      <c r="P95" s="3"/>
      <c r="Q95" s="2"/>
      <c r="T95" s="3"/>
      <c r="U95" s="3"/>
      <c r="V95" s="2"/>
    </row>
    <row r="96" spans="15:22" x14ac:dyDescent="0.25">
      <c r="O96" s="3"/>
      <c r="P96" s="3"/>
      <c r="Q96" s="2"/>
      <c r="T96" s="3"/>
      <c r="U96" s="3"/>
      <c r="V96" s="2"/>
    </row>
    <row r="97" spans="15:22" x14ac:dyDescent="0.25">
      <c r="O97" s="3"/>
      <c r="P97" s="3"/>
      <c r="Q97" s="2"/>
      <c r="T97" s="3"/>
      <c r="U97" s="3"/>
      <c r="V97" s="2"/>
    </row>
  </sheetData>
  <mergeCells count="4">
    <mergeCell ref="H1:N1"/>
    <mergeCell ref="A1:G1"/>
    <mergeCell ref="H19:N19"/>
    <mergeCell ref="A19:G19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259E-5AE2-410A-B5BB-6FED3086694C}">
  <dimension ref="A1:R96"/>
  <sheetViews>
    <sheetView topLeftCell="E14" zoomScale="160" zoomScaleNormal="160" workbookViewId="0">
      <selection activeCell="I21" sqref="I21:N25"/>
    </sheetView>
  </sheetViews>
  <sheetFormatPr defaultColWidth="8.85546875" defaultRowHeight="15" x14ac:dyDescent="0.25"/>
  <cols>
    <col min="1" max="1" width="10.5703125" customWidth="1"/>
    <col min="8" max="8" width="10.5703125" customWidth="1"/>
  </cols>
  <sheetData>
    <row r="1" spans="1:18" x14ac:dyDescent="0.25">
      <c r="A1" s="50" t="s">
        <v>0</v>
      </c>
      <c r="B1" s="50"/>
      <c r="C1" s="50"/>
      <c r="D1" s="50"/>
      <c r="E1" s="50"/>
      <c r="F1" s="50"/>
      <c r="G1" s="51"/>
      <c r="H1" s="49" t="s">
        <v>1</v>
      </c>
      <c r="I1" s="50"/>
      <c r="J1" s="50"/>
      <c r="K1" s="50"/>
      <c r="L1" s="50"/>
      <c r="M1" s="50"/>
      <c r="N1" s="51"/>
      <c r="P1" s="10"/>
      <c r="Q1" s="10"/>
      <c r="R1" s="11"/>
    </row>
    <row r="2" spans="1:18" x14ac:dyDescent="0.25">
      <c r="A2" t="s">
        <v>110</v>
      </c>
      <c r="B2">
        <v>0</v>
      </c>
      <c r="C2">
        <v>10</v>
      </c>
      <c r="D2">
        <v>20</v>
      </c>
      <c r="E2" s="18">
        <v>30</v>
      </c>
      <c r="F2">
        <v>60</v>
      </c>
      <c r="G2" s="1">
        <v>90</v>
      </c>
      <c r="H2" t="s">
        <v>110</v>
      </c>
      <c r="I2">
        <v>0</v>
      </c>
      <c r="J2">
        <v>10</v>
      </c>
      <c r="K2">
        <v>20</v>
      </c>
      <c r="L2" s="18">
        <v>30</v>
      </c>
      <c r="M2">
        <v>60</v>
      </c>
      <c r="N2" s="1">
        <v>90</v>
      </c>
      <c r="P2" s="10"/>
      <c r="Q2" s="10"/>
      <c r="R2" s="11"/>
    </row>
    <row r="3" spans="1:18" x14ac:dyDescent="0.25">
      <c r="A3" t="s">
        <v>49</v>
      </c>
      <c r="B3" s="4">
        <v>23.381348952485901</v>
      </c>
      <c r="C3" s="4">
        <v>22.6278780407014</v>
      </c>
      <c r="D3" s="4">
        <v>22.681557150427899</v>
      </c>
      <c r="E3" s="4">
        <v>23.424468592532499</v>
      </c>
      <c r="F3" s="4">
        <v>22.473334697867301</v>
      </c>
      <c r="G3" s="4">
        <v>22.1005898103726</v>
      </c>
      <c r="H3" s="8" t="s">
        <v>49</v>
      </c>
      <c r="I3" s="4">
        <v>17.634978365559</v>
      </c>
      <c r="J3" s="4">
        <v>17.817491341512699</v>
      </c>
      <c r="K3" s="4">
        <v>17.6310813075422</v>
      </c>
      <c r="L3" s="4">
        <v>19.106794517163099</v>
      </c>
      <c r="M3" s="4">
        <v>18.054547515773901</v>
      </c>
      <c r="N3" s="7">
        <v>18.764301024409001</v>
      </c>
      <c r="P3" s="10"/>
      <c r="Q3" s="10"/>
      <c r="R3" s="11"/>
    </row>
    <row r="4" spans="1:18" x14ac:dyDescent="0.25">
      <c r="A4" t="s">
        <v>50</v>
      </c>
      <c r="B4" s="4">
        <v>23.382034065048899</v>
      </c>
      <c r="C4" s="4">
        <v>22.324822295247301</v>
      </c>
      <c r="D4" s="4">
        <v>22.3954498800714</v>
      </c>
      <c r="E4" s="4">
        <v>23.564449478807401</v>
      </c>
      <c r="F4" s="4">
        <v>21.909223091349599</v>
      </c>
      <c r="G4" s="4">
        <v>21.6697870901437</v>
      </c>
      <c r="H4" s="8" t="s">
        <v>50</v>
      </c>
      <c r="I4" s="4">
        <v>17.8705401406825</v>
      </c>
      <c r="J4" s="4">
        <v>18.046902649259899</v>
      </c>
      <c r="K4" s="4">
        <v>17.8187742759917</v>
      </c>
      <c r="L4" s="4">
        <v>19.322633715557</v>
      </c>
      <c r="M4" s="4">
        <v>18.6373470732177</v>
      </c>
      <c r="N4" s="7">
        <v>18.346170815835301</v>
      </c>
      <c r="P4" s="10"/>
      <c r="Q4" s="10"/>
      <c r="R4" s="11"/>
    </row>
    <row r="5" spans="1:18" x14ac:dyDescent="0.25">
      <c r="A5" t="s">
        <v>51</v>
      </c>
      <c r="B5" s="4">
        <v>23.494859390437501</v>
      </c>
      <c r="C5" s="4">
        <v>22.539431224667499</v>
      </c>
      <c r="D5" s="4">
        <v>22.726959764480899</v>
      </c>
      <c r="E5" s="4">
        <v>23.1779735645218</v>
      </c>
      <c r="F5" s="4">
        <v>22.0729934135679</v>
      </c>
      <c r="G5" s="4">
        <v>21.6673348796154</v>
      </c>
      <c r="H5" s="8" t="s">
        <v>51</v>
      </c>
      <c r="I5" s="4">
        <v>17.987129415803199</v>
      </c>
      <c r="J5" s="4">
        <v>18.024122954468901</v>
      </c>
      <c r="K5" s="4">
        <v>18.171739136363499</v>
      </c>
      <c r="L5" s="4">
        <v>17.124044723750298</v>
      </c>
      <c r="M5" s="4">
        <v>19.156658680315001</v>
      </c>
      <c r="N5" s="7">
        <v>18.195113825359101</v>
      </c>
      <c r="P5" s="10"/>
      <c r="Q5" s="10"/>
      <c r="R5" s="11"/>
    </row>
    <row r="6" spans="1:18" x14ac:dyDescent="0.25">
      <c r="A6" t="s">
        <v>52</v>
      </c>
      <c r="B6" s="4">
        <v>23.049816297972502</v>
      </c>
      <c r="C6" s="4">
        <v>23.055588648759901</v>
      </c>
      <c r="D6" s="4">
        <v>23.039174547829901</v>
      </c>
      <c r="E6" s="4">
        <v>22.709502467476</v>
      </c>
      <c r="F6" s="4">
        <v>22.835258299435399</v>
      </c>
      <c r="G6" s="4">
        <v>21.961366654737802</v>
      </c>
      <c r="H6" s="8" t="s">
        <v>52</v>
      </c>
      <c r="I6" s="4">
        <v>17.727502417758899</v>
      </c>
      <c r="J6" s="4">
        <v>17.599139335169699</v>
      </c>
      <c r="K6" s="4">
        <v>17.838722041506902</v>
      </c>
      <c r="L6" s="4">
        <v>16.9932647884532</v>
      </c>
      <c r="M6" s="4">
        <v>18.485149848446</v>
      </c>
      <c r="N6" s="7">
        <v>18.280690553444899</v>
      </c>
      <c r="P6" s="10"/>
      <c r="Q6" s="10"/>
      <c r="R6" s="11"/>
    </row>
    <row r="7" spans="1:18" x14ac:dyDescent="0.25">
      <c r="A7" t="s">
        <v>53</v>
      </c>
      <c r="B7" s="4">
        <v>22.869232378157498</v>
      </c>
      <c r="C7" s="4">
        <v>22.6297771652231</v>
      </c>
      <c r="D7" s="4">
        <v>22.704720848978699</v>
      </c>
      <c r="E7" s="4">
        <v>22.577753280085801</v>
      </c>
      <c r="F7" s="4">
        <v>22.285807772054</v>
      </c>
      <c r="G7" s="4">
        <v>21.622696372049401</v>
      </c>
      <c r="H7" s="8" t="s">
        <v>53</v>
      </c>
      <c r="I7" s="4">
        <v>18.5477081172663</v>
      </c>
      <c r="J7" s="4">
        <v>17.787880132815999</v>
      </c>
      <c r="K7" s="4">
        <v>17.758098206601399</v>
      </c>
      <c r="L7" s="4">
        <v>18.909145969734102</v>
      </c>
      <c r="M7" s="4">
        <v>18.396889706092399</v>
      </c>
      <c r="N7" s="7">
        <v>18.205268606350501</v>
      </c>
      <c r="P7" s="10"/>
      <c r="Q7" s="10"/>
      <c r="R7" s="11"/>
    </row>
    <row r="8" spans="1:18" x14ac:dyDescent="0.25">
      <c r="A8" t="s">
        <v>54</v>
      </c>
      <c r="B8" s="4">
        <v>22.914020528636399</v>
      </c>
      <c r="C8" s="4">
        <v>22.786166669340801</v>
      </c>
      <c r="D8" s="4">
        <v>22.614567110208402</v>
      </c>
      <c r="E8" s="4">
        <v>22.6768575662385</v>
      </c>
      <c r="F8" s="4">
        <v>22.2071234274684</v>
      </c>
      <c r="G8" s="4">
        <v>21.8259534866067</v>
      </c>
      <c r="H8" s="8" t="s">
        <v>54</v>
      </c>
      <c r="I8" s="4">
        <v>18.112167744849302</v>
      </c>
      <c r="J8" s="4">
        <v>17.604005440488599</v>
      </c>
      <c r="K8" s="4">
        <v>18.004818228404101</v>
      </c>
      <c r="L8" s="4">
        <v>17.221443541767499</v>
      </c>
      <c r="M8" s="4">
        <v>18.986650842920099</v>
      </c>
      <c r="N8" s="7">
        <v>18.482798101219402</v>
      </c>
      <c r="P8" s="10"/>
      <c r="Q8" s="10"/>
      <c r="R8" s="11"/>
    </row>
    <row r="9" spans="1:18" x14ac:dyDescent="0.25">
      <c r="A9" t="s">
        <v>55</v>
      </c>
      <c r="B9" s="11">
        <v>23.1005627036138</v>
      </c>
      <c r="C9" s="4">
        <v>24.423022269521098</v>
      </c>
      <c r="D9" s="4">
        <v>23.927664243338601</v>
      </c>
      <c r="E9" s="11">
        <v>25.510292069091999</v>
      </c>
      <c r="F9" s="14">
        <v>22.5707347553357</v>
      </c>
      <c r="G9" s="11">
        <v>24.428584484003601</v>
      </c>
      <c r="H9" s="8" t="s">
        <v>55</v>
      </c>
      <c r="I9" s="11">
        <v>18.137559488130101</v>
      </c>
      <c r="J9" s="4">
        <v>17.9892739985434</v>
      </c>
      <c r="K9" s="4">
        <v>17.745829378806999</v>
      </c>
      <c r="L9" s="11">
        <v>19.164137860463601</v>
      </c>
      <c r="M9" s="11">
        <v>19.131896574678301</v>
      </c>
      <c r="N9" s="12">
        <v>20.196999372298901</v>
      </c>
      <c r="P9" s="10"/>
      <c r="Q9" s="10"/>
      <c r="R9" s="11"/>
    </row>
    <row r="10" spans="1:18" x14ac:dyDescent="0.25">
      <c r="A10" t="s">
        <v>56</v>
      </c>
      <c r="B10" s="4">
        <v>24.356056183179799</v>
      </c>
      <c r="C10" s="4">
        <v>23.693505296467102</v>
      </c>
      <c r="D10" s="4">
        <v>23.812862293633</v>
      </c>
      <c r="E10" s="11">
        <v>24.328452077200399</v>
      </c>
      <c r="F10" s="11">
        <v>24.3456425796359</v>
      </c>
      <c r="G10" s="11">
        <v>25.5431398591777</v>
      </c>
      <c r="H10" s="8" t="s">
        <v>56</v>
      </c>
      <c r="I10" s="4">
        <v>18.095552557445099</v>
      </c>
      <c r="J10" s="4">
        <v>17.479391546978501</v>
      </c>
      <c r="K10" s="4">
        <v>17.475317477559202</v>
      </c>
      <c r="L10" s="11">
        <v>18.0465472679426</v>
      </c>
      <c r="M10" s="11">
        <v>19.044026855882901</v>
      </c>
      <c r="N10" s="12">
        <v>20.111267849494201</v>
      </c>
      <c r="P10" s="10"/>
      <c r="Q10" s="10"/>
      <c r="R10" s="11"/>
    </row>
    <row r="11" spans="1:18" x14ac:dyDescent="0.25">
      <c r="A11" t="s">
        <v>57</v>
      </c>
      <c r="B11" s="4">
        <v>23.8765279792295</v>
      </c>
      <c r="C11" s="4">
        <v>23.3257372642226</v>
      </c>
      <c r="D11" s="4">
        <v>23.307404556027802</v>
      </c>
      <c r="E11" s="11">
        <v>23.895953293774699</v>
      </c>
      <c r="F11" s="11">
        <v>24.234030799036098</v>
      </c>
      <c r="G11" s="11">
        <v>24.153754347219898</v>
      </c>
      <c r="H11" s="8" t="s">
        <v>57</v>
      </c>
      <c r="I11" s="4">
        <v>18.143203156474101</v>
      </c>
      <c r="J11" s="4">
        <v>17.626606639976298</v>
      </c>
      <c r="K11" s="4">
        <v>17.9120599676023</v>
      </c>
      <c r="L11" s="11">
        <v>18.279593824684198</v>
      </c>
      <c r="M11" s="11">
        <v>19.067214349741398</v>
      </c>
      <c r="N11" s="12">
        <v>20.0603913842838</v>
      </c>
      <c r="P11" s="10"/>
      <c r="Q11" s="10"/>
      <c r="R11" s="11"/>
    </row>
    <row r="12" spans="1:18" x14ac:dyDescent="0.25">
      <c r="A12" t="s">
        <v>58</v>
      </c>
      <c r="B12" s="11">
        <v>21.9343815820359</v>
      </c>
      <c r="C12" s="11">
        <v>23.270868487154001</v>
      </c>
      <c r="D12" s="11">
        <v>22.5154967900027</v>
      </c>
      <c r="E12" s="4">
        <v>21.021443496867398</v>
      </c>
      <c r="F12" s="11">
        <v>22.0704637185301</v>
      </c>
      <c r="G12" s="11">
        <v>22.591558431868101</v>
      </c>
      <c r="H12" s="8" t="s">
        <v>58</v>
      </c>
      <c r="I12" s="11">
        <v>18.070645395516401</v>
      </c>
      <c r="J12" s="11">
        <v>18.625623809220698</v>
      </c>
      <c r="K12" s="11">
        <v>18.215116046162599</v>
      </c>
      <c r="L12" s="11">
        <v>17.857352098032699</v>
      </c>
      <c r="M12" s="11">
        <v>19.037238582855402</v>
      </c>
      <c r="N12" s="12">
        <v>19.139477729914699</v>
      </c>
      <c r="P12" s="10"/>
      <c r="Q12" s="10"/>
      <c r="R12" s="11"/>
    </row>
    <row r="13" spans="1:18" x14ac:dyDescent="0.25">
      <c r="A13" t="s">
        <v>59</v>
      </c>
      <c r="B13" s="11">
        <v>22.0104295632777</v>
      </c>
      <c r="C13" s="11">
        <v>22.368790712570501</v>
      </c>
      <c r="D13" s="11">
        <v>21.4248248078678</v>
      </c>
      <c r="E13" s="11">
        <v>22.239156231829899</v>
      </c>
      <c r="F13" s="11">
        <v>21.768696563503401</v>
      </c>
      <c r="G13" s="11">
        <v>22.4548678129226</v>
      </c>
      <c r="H13" s="8" t="s">
        <v>59</v>
      </c>
      <c r="I13" s="11">
        <v>18.092333502733101</v>
      </c>
      <c r="J13" s="11">
        <v>18.7727929610076</v>
      </c>
      <c r="K13" s="11">
        <v>18.374834579534799</v>
      </c>
      <c r="L13" s="11">
        <v>18.337883486293698</v>
      </c>
      <c r="M13" s="11">
        <v>19.3168563004253</v>
      </c>
      <c r="N13" s="12">
        <v>18.843720890882601</v>
      </c>
      <c r="P13" s="10"/>
      <c r="Q13" s="10"/>
      <c r="R13" s="11"/>
    </row>
    <row r="14" spans="1:18" x14ac:dyDescent="0.25">
      <c r="A14" t="s">
        <v>60</v>
      </c>
      <c r="B14" s="11">
        <v>22.384003627795799</v>
      </c>
      <c r="C14" s="11">
        <v>22.805194822467801</v>
      </c>
      <c r="D14" s="11">
        <v>21.925812541719299</v>
      </c>
      <c r="E14" s="11">
        <v>21.8877538282131</v>
      </c>
      <c r="F14" s="11">
        <v>21.875718740082899</v>
      </c>
      <c r="G14" s="11">
        <v>22.7182118010704</v>
      </c>
      <c r="H14" s="8" t="s">
        <v>60</v>
      </c>
      <c r="I14" s="11">
        <v>18.119422901923802</v>
      </c>
      <c r="J14" s="11">
        <v>18.654619646459299</v>
      </c>
      <c r="K14" s="11">
        <v>18.102221596281201</v>
      </c>
      <c r="L14" s="11">
        <v>17.664148993675902</v>
      </c>
      <c r="M14" s="11">
        <v>19.170852463133301</v>
      </c>
      <c r="N14" s="12">
        <v>19.1347509920612</v>
      </c>
      <c r="P14" s="10"/>
      <c r="Q14" s="10"/>
      <c r="R14" s="11"/>
    </row>
    <row r="15" spans="1:18" x14ac:dyDescent="0.25">
      <c r="A15" t="s">
        <v>61</v>
      </c>
      <c r="B15" s="11">
        <v>23.429757271669001</v>
      </c>
      <c r="C15" s="11">
        <v>23.6490621636014</v>
      </c>
      <c r="D15" s="11">
        <v>22.921489178398399</v>
      </c>
      <c r="E15" s="11">
        <v>23.0972048878333</v>
      </c>
      <c r="F15" s="11">
        <v>23.275861701068202</v>
      </c>
      <c r="G15" s="11">
        <v>22.814520693167101</v>
      </c>
      <c r="H15" s="8" t="s">
        <v>61</v>
      </c>
      <c r="I15" s="11">
        <v>17.753888785762101</v>
      </c>
      <c r="J15" s="11">
        <v>18.461192128207401</v>
      </c>
      <c r="K15" s="11">
        <v>18.267075619333099</v>
      </c>
      <c r="L15" s="11">
        <v>18.375928666974001</v>
      </c>
      <c r="M15" s="11">
        <v>19.056882547373998</v>
      </c>
      <c r="N15" s="12">
        <v>19.246297660963901</v>
      </c>
      <c r="P15" s="10"/>
      <c r="Q15" s="10"/>
      <c r="R15" s="11"/>
    </row>
    <row r="16" spans="1:18" x14ac:dyDescent="0.25">
      <c r="A16" t="s">
        <v>62</v>
      </c>
      <c r="B16" s="11">
        <v>23.283077947823902</v>
      </c>
      <c r="C16" s="11">
        <v>23.5952557173642</v>
      </c>
      <c r="D16" s="11">
        <v>22.951844319254299</v>
      </c>
      <c r="E16" s="11">
        <v>22.721322090398701</v>
      </c>
      <c r="F16" s="11">
        <v>22.9577808100324</v>
      </c>
      <c r="G16" s="11">
        <v>22.748450113001301</v>
      </c>
      <c r="H16" s="8" t="s">
        <v>62</v>
      </c>
      <c r="I16" s="11">
        <v>18.5164507391946</v>
      </c>
      <c r="J16" s="11">
        <v>18.452600097294699</v>
      </c>
      <c r="K16" s="11">
        <v>18.427730503808</v>
      </c>
      <c r="L16" s="11">
        <v>18.1583506816376</v>
      </c>
      <c r="M16" s="11">
        <v>19.255719526054399</v>
      </c>
      <c r="N16" s="12">
        <v>19.194946582755001</v>
      </c>
      <c r="P16" s="10"/>
      <c r="Q16" s="10"/>
      <c r="R16" s="11"/>
    </row>
    <row r="17" spans="1:18" x14ac:dyDescent="0.25">
      <c r="A17" t="s">
        <v>63</v>
      </c>
      <c r="B17" s="11">
        <v>23.0890983584198</v>
      </c>
      <c r="C17" s="11">
        <v>23.339123142381698</v>
      </c>
      <c r="D17" s="11">
        <v>23.265221329915999</v>
      </c>
      <c r="E17" s="11">
        <v>22.6659096060535</v>
      </c>
      <c r="F17" s="11">
        <v>23.1526090091748</v>
      </c>
      <c r="G17" s="11">
        <v>22.022871779253201</v>
      </c>
      <c r="H17" s="8" t="s">
        <v>63</v>
      </c>
      <c r="I17" s="11">
        <v>18.438046429412399</v>
      </c>
      <c r="J17" s="11">
        <v>18.510315391808799</v>
      </c>
      <c r="K17" s="11">
        <v>18.339344544623302</v>
      </c>
      <c r="L17" s="11">
        <v>18.155724832102599</v>
      </c>
      <c r="M17" s="11">
        <v>18.978338498345899</v>
      </c>
      <c r="N17" s="12">
        <v>19.230119910963801</v>
      </c>
      <c r="P17" s="10"/>
      <c r="Q17" s="10"/>
      <c r="R17" s="11"/>
    </row>
    <row r="18" spans="1:18" x14ac:dyDescent="0.25">
      <c r="E18" s="4"/>
      <c r="F18" s="4"/>
      <c r="G18" s="1"/>
      <c r="H18" s="8"/>
      <c r="J18" s="4"/>
      <c r="N18" s="1"/>
      <c r="P18" s="10"/>
      <c r="Q18" s="10"/>
      <c r="R18" s="11"/>
    </row>
    <row r="19" spans="1:18" x14ac:dyDescent="0.25">
      <c r="A19" s="50" t="s">
        <v>0</v>
      </c>
      <c r="B19" s="50"/>
      <c r="C19" s="50"/>
      <c r="D19" s="50"/>
      <c r="E19" s="50"/>
      <c r="F19" s="50"/>
      <c r="G19" s="51"/>
      <c r="H19" s="49" t="s">
        <v>117</v>
      </c>
      <c r="I19" s="50"/>
      <c r="J19" s="50"/>
      <c r="K19" s="50"/>
      <c r="L19" s="50"/>
      <c r="M19" s="50"/>
      <c r="N19" s="51"/>
      <c r="P19" s="10"/>
      <c r="Q19" s="10"/>
      <c r="R19" s="11"/>
    </row>
    <row r="20" spans="1:18" x14ac:dyDescent="0.25">
      <c r="A20" t="s">
        <v>110</v>
      </c>
      <c r="B20">
        <v>0</v>
      </c>
      <c r="C20">
        <v>10</v>
      </c>
      <c r="D20">
        <v>20</v>
      </c>
      <c r="E20" s="18">
        <v>30</v>
      </c>
      <c r="F20">
        <v>60</v>
      </c>
      <c r="G20" s="1">
        <v>90</v>
      </c>
      <c r="H20" t="s">
        <v>110</v>
      </c>
      <c r="I20">
        <v>0</v>
      </c>
      <c r="J20">
        <v>10</v>
      </c>
      <c r="K20">
        <v>20</v>
      </c>
      <c r="L20" s="18">
        <v>30</v>
      </c>
      <c r="M20">
        <v>60</v>
      </c>
      <c r="N20" s="1">
        <v>90</v>
      </c>
      <c r="P20" s="10"/>
      <c r="Q20" s="10"/>
      <c r="R20" s="11"/>
    </row>
    <row r="21" spans="1:18" x14ac:dyDescent="0.25">
      <c r="A21" t="s">
        <v>49</v>
      </c>
      <c r="B21">
        <v>1</v>
      </c>
      <c r="C21" s="5">
        <f>2^-((C3-J3)-($B3-$I3))</f>
        <v>1.9131949491802185</v>
      </c>
      <c r="D21" s="5">
        <f t="shared" ref="D21:G35" si="0">2^-((D3-K3)-($B3-$I3))</f>
        <v>1.6198887593175098</v>
      </c>
      <c r="E21" s="5">
        <f t="shared" si="0"/>
        <v>2.6920337769497249</v>
      </c>
      <c r="F21" s="5">
        <f t="shared" si="0"/>
        <v>2.5098191381122534</v>
      </c>
      <c r="G21" s="6">
        <f t="shared" si="0"/>
        <v>5.3150446114411327</v>
      </c>
      <c r="H21" s="8" t="s">
        <v>98</v>
      </c>
      <c r="I21" s="5">
        <f>AVERAGE(B21:B23)</f>
        <v>1</v>
      </c>
      <c r="J21" s="5">
        <f>AVERAGE(C21:C23)</f>
        <v>2.0847350826568456</v>
      </c>
      <c r="K21" s="5">
        <f>AVERAGE(D21:D23)</f>
        <v>1.8222581404917653</v>
      </c>
      <c r="L21" s="5">
        <f>AVERAGE(E21:E23)</f>
        <v>1.9293111967265466</v>
      </c>
      <c r="M21" s="5">
        <f t="shared" ref="M21:N21" si="1">AVERAGE(F21:F23)</f>
        <v>4.4197838559113576</v>
      </c>
      <c r="N21" s="5">
        <f t="shared" si="1"/>
        <v>4.6570216401339923</v>
      </c>
      <c r="P21" s="10"/>
      <c r="Q21" s="10"/>
      <c r="R21" s="11"/>
    </row>
    <row r="22" spans="1:18" x14ac:dyDescent="0.25">
      <c r="A22" t="s">
        <v>50</v>
      </c>
      <c r="B22">
        <v>1</v>
      </c>
      <c r="C22" s="5">
        <f t="shared" ref="C22:C35" si="2">2^-((C4-J4)-($B4-$I4))</f>
        <v>2.3514885027608616</v>
      </c>
      <c r="D22" s="5">
        <f t="shared" si="0"/>
        <v>1.9116498844658136</v>
      </c>
      <c r="E22" s="5">
        <f t="shared" si="0"/>
        <v>2.4110777280282085</v>
      </c>
      <c r="F22" s="5">
        <f t="shared" si="0"/>
        <v>4.7227196809074679</v>
      </c>
      <c r="G22" s="6">
        <f t="shared" si="0"/>
        <v>4.5563470845750071</v>
      </c>
      <c r="H22" s="8" t="s">
        <v>99</v>
      </c>
      <c r="I22" s="5">
        <f>AVERAGE(B24:B26)</f>
        <v>1</v>
      </c>
      <c r="J22" s="5">
        <f t="shared" ref="J22:N22" si="3">AVERAGE(C24:C26)</f>
        <v>0.79222690652934913</v>
      </c>
      <c r="K22" s="5">
        <f t="shared" si="3"/>
        <v>0.9596473204788335</v>
      </c>
      <c r="L22" s="5">
        <f t="shared" si="3"/>
        <v>0.98970336880542054</v>
      </c>
      <c r="M22" s="5">
        <f t="shared" si="3"/>
        <v>2.1013556386916044</v>
      </c>
      <c r="N22" s="5">
        <f t="shared" si="3"/>
        <v>2.5800571346115979</v>
      </c>
      <c r="P22" s="10"/>
      <c r="Q22" s="10"/>
      <c r="R22" s="11"/>
    </row>
    <row r="23" spans="1:18" x14ac:dyDescent="0.25">
      <c r="A23" t="s">
        <v>51</v>
      </c>
      <c r="B23">
        <v>1</v>
      </c>
      <c r="C23" s="5">
        <f t="shared" si="2"/>
        <v>1.9895217960294576</v>
      </c>
      <c r="D23" s="5">
        <f t="shared" si="0"/>
        <v>1.9352357776919722</v>
      </c>
      <c r="E23" s="5">
        <f t="shared" si="0"/>
        <v>0.68482208520170695</v>
      </c>
      <c r="F23" s="5">
        <f t="shared" si="0"/>
        <v>6.0268127487143506</v>
      </c>
      <c r="G23" s="6">
        <f t="shared" si="0"/>
        <v>4.0996732243858371</v>
      </c>
      <c r="H23" s="8" t="s">
        <v>100</v>
      </c>
      <c r="I23" s="5">
        <f>AVERAGE(B27:B29)</f>
        <v>1</v>
      </c>
      <c r="J23" s="5">
        <f t="shared" ref="J23:N23" si="4">AVERAGE(C27:C29)</f>
        <v>0.80581940729200419</v>
      </c>
      <c r="K23" s="5">
        <f t="shared" si="4"/>
        <v>0.88053872949610623</v>
      </c>
      <c r="L23" s="5">
        <f t="shared" si="4"/>
        <v>0.81770240589771781</v>
      </c>
      <c r="M23" s="5">
        <f t="shared" si="4"/>
        <v>2.1003160183637584</v>
      </c>
      <c r="N23" s="5">
        <f t="shared" si="4"/>
        <v>2.1842820759513106</v>
      </c>
      <c r="P23" s="10"/>
      <c r="Q23" s="10"/>
      <c r="R23" s="11"/>
    </row>
    <row r="24" spans="1:18" x14ac:dyDescent="0.25">
      <c r="A24" t="s">
        <v>52</v>
      </c>
      <c r="B24">
        <v>1</v>
      </c>
      <c r="C24" s="5">
        <f t="shared" si="2"/>
        <v>0.91121573600494399</v>
      </c>
      <c r="D24" s="5">
        <f t="shared" si="0"/>
        <v>1.0881378793316794</v>
      </c>
      <c r="E24" s="5">
        <f t="shared" si="0"/>
        <v>0.7610568873482747</v>
      </c>
      <c r="F24" s="5">
        <f t="shared" si="0"/>
        <v>1.9618373393805684</v>
      </c>
      <c r="G24" s="6">
        <f t="shared" si="0"/>
        <v>3.1201984262606355</v>
      </c>
      <c r="H24" s="8" t="s">
        <v>101</v>
      </c>
      <c r="I24" s="5">
        <f>AVERAGE(B30:B32)</f>
        <v>1</v>
      </c>
      <c r="J24" s="5">
        <f t="shared" ref="J24:N24" si="5">AVERAGE(C30:C32)</f>
        <v>0.97137816020508527</v>
      </c>
      <c r="K24" s="5">
        <f t="shared" si="5"/>
        <v>1.3072170917740682</v>
      </c>
      <c r="L24" s="5">
        <f t="shared" si="5"/>
        <v>1.2215478897271537</v>
      </c>
      <c r="M24" s="5">
        <f t="shared" si="5"/>
        <v>2.4964362783499978</v>
      </c>
      <c r="N24" s="5">
        <f t="shared" si="5"/>
        <v>1.3902280467885235</v>
      </c>
      <c r="P24" s="10"/>
      <c r="Q24" s="10"/>
      <c r="R24" s="11"/>
    </row>
    <row r="25" spans="1:18" x14ac:dyDescent="0.25">
      <c r="A25" t="s">
        <v>53</v>
      </c>
      <c r="B25">
        <v>1</v>
      </c>
      <c r="C25" s="5">
        <f t="shared" si="2"/>
        <v>0.69719166566514057</v>
      </c>
      <c r="D25" s="5">
        <f t="shared" si="0"/>
        <v>0.64837556124070816</v>
      </c>
      <c r="E25" s="5">
        <f t="shared" si="0"/>
        <v>1.5723440689038624</v>
      </c>
      <c r="F25" s="5">
        <f t="shared" si="0"/>
        <v>1.3496695224648874</v>
      </c>
      <c r="G25" s="6">
        <f t="shared" si="0"/>
        <v>1.8713721588971117</v>
      </c>
      <c r="H25" s="8" t="s">
        <v>102</v>
      </c>
      <c r="I25" s="5">
        <f>AVERAGE(B33:B35)</f>
        <v>1</v>
      </c>
      <c r="J25" s="5">
        <f t="shared" ref="J25:N25" si="6">AVERAGE(C33:C35)</f>
        <v>1.0190436092025676</v>
      </c>
      <c r="K25" s="5">
        <f t="shared" si="6"/>
        <v>1.3465225606721141</v>
      </c>
      <c r="L25" s="5">
        <f t="shared" si="6"/>
        <v>1.3974041060798579</v>
      </c>
      <c r="M25" s="5">
        <f t="shared" si="6"/>
        <v>2.0761114307026993</v>
      </c>
      <c r="N25" s="5">
        <f t="shared" si="6"/>
        <v>3.4180219076621134</v>
      </c>
      <c r="P25" s="10"/>
      <c r="Q25" s="10"/>
      <c r="R25" s="11"/>
    </row>
    <row r="26" spans="1:18" x14ac:dyDescent="0.25">
      <c r="A26" t="s">
        <v>54</v>
      </c>
      <c r="B26">
        <v>1</v>
      </c>
      <c r="C26" s="5">
        <f t="shared" si="2"/>
        <v>0.76827331791796283</v>
      </c>
      <c r="D26" s="5">
        <f t="shared" si="0"/>
        <v>1.1424285208641132</v>
      </c>
      <c r="E26" s="5">
        <f t="shared" si="0"/>
        <v>0.63570915016412444</v>
      </c>
      <c r="F26" s="5">
        <f t="shared" si="0"/>
        <v>2.9925600542293576</v>
      </c>
      <c r="G26" s="6">
        <f t="shared" si="0"/>
        <v>2.7486008186770468</v>
      </c>
      <c r="H26" s="8"/>
      <c r="I26" s="5"/>
      <c r="J26" s="5"/>
      <c r="K26" s="5"/>
      <c r="L26" s="5"/>
      <c r="M26" s="5"/>
      <c r="N26" s="5"/>
      <c r="P26" s="10"/>
      <c r="Q26" s="10"/>
      <c r="R26" s="11"/>
    </row>
    <row r="27" spans="1:18" x14ac:dyDescent="0.25">
      <c r="A27" t="s">
        <v>55</v>
      </c>
      <c r="B27">
        <v>1</v>
      </c>
      <c r="C27" s="5">
        <f t="shared" si="2"/>
        <v>0.36079592379681846</v>
      </c>
      <c r="D27" s="5">
        <f t="shared" si="0"/>
        <v>0.42963050898667166</v>
      </c>
      <c r="E27" s="5">
        <f t="shared" si="0"/>
        <v>0.38338053803019023</v>
      </c>
      <c r="F27" s="5">
        <f t="shared" si="0"/>
        <v>2.8762020654798008</v>
      </c>
      <c r="G27" s="6">
        <f t="shared" si="0"/>
        <v>1.6602702601647086</v>
      </c>
      <c r="H27" s="8"/>
      <c r="I27" s="20">
        <v>0</v>
      </c>
      <c r="J27" s="20">
        <v>10</v>
      </c>
      <c r="K27" s="20">
        <v>20</v>
      </c>
      <c r="L27" s="18">
        <v>30</v>
      </c>
      <c r="M27" s="20">
        <v>60</v>
      </c>
      <c r="N27" s="19">
        <v>90</v>
      </c>
      <c r="P27" s="10"/>
      <c r="Q27" s="10"/>
      <c r="R27" s="11"/>
    </row>
    <row r="28" spans="1:18" x14ac:dyDescent="0.25">
      <c r="A28" t="s">
        <v>56</v>
      </c>
      <c r="B28">
        <v>1</v>
      </c>
      <c r="C28" s="5">
        <f t="shared" si="2"/>
        <v>1.0326775702384359</v>
      </c>
      <c r="D28" s="5">
        <f t="shared" si="0"/>
        <v>0.94799989842804999</v>
      </c>
      <c r="E28" s="5">
        <f t="shared" si="0"/>
        <v>0.98527531424244974</v>
      </c>
      <c r="F28" s="5">
        <f t="shared" si="0"/>
        <v>1.9438109351583897</v>
      </c>
      <c r="G28" s="6">
        <f t="shared" si="0"/>
        <v>1.7760000423020874</v>
      </c>
      <c r="H28" s="8" t="s">
        <v>103</v>
      </c>
      <c r="I28" s="5">
        <f>AVERAGE(I21:I25)</f>
        <v>1</v>
      </c>
      <c r="J28" s="5">
        <f t="shared" ref="J28:N28" si="7">AVERAGE(J21:J25)</f>
        <v>1.1346406331771703</v>
      </c>
      <c r="K28" s="5">
        <f t="shared" si="7"/>
        <v>1.2632367685825776</v>
      </c>
      <c r="L28" s="5">
        <f t="shared" si="7"/>
        <v>1.2711337934473392</v>
      </c>
      <c r="M28" s="5">
        <f t="shared" si="7"/>
        <v>2.6388006444038838</v>
      </c>
      <c r="N28" s="5">
        <f t="shared" si="7"/>
        <v>2.8459221610295078</v>
      </c>
      <c r="P28" s="10"/>
      <c r="Q28" s="10"/>
      <c r="R28" s="11"/>
    </row>
    <row r="29" spans="1:18" x14ac:dyDescent="0.25">
      <c r="A29" t="s">
        <v>57</v>
      </c>
      <c r="B29">
        <v>1</v>
      </c>
      <c r="C29" s="5">
        <f t="shared" si="2"/>
        <v>1.0239847278407583</v>
      </c>
      <c r="D29" s="5">
        <f t="shared" si="0"/>
        <v>1.263985781073597</v>
      </c>
      <c r="E29" s="5">
        <f t="shared" si="0"/>
        <v>1.0844513654205137</v>
      </c>
      <c r="F29" s="5">
        <f t="shared" si="0"/>
        <v>1.4809350544530855</v>
      </c>
      <c r="G29" s="6">
        <f t="shared" si="0"/>
        <v>3.1165759253871359</v>
      </c>
      <c r="H29" s="8"/>
      <c r="N29" s="1"/>
      <c r="P29" s="10"/>
      <c r="Q29" s="10"/>
      <c r="R29" s="11"/>
    </row>
    <row r="30" spans="1:18" x14ac:dyDescent="0.25">
      <c r="A30" t="s">
        <v>58</v>
      </c>
      <c r="B30">
        <v>1</v>
      </c>
      <c r="C30" s="5">
        <f t="shared" si="2"/>
        <v>0.58175818492672482</v>
      </c>
      <c r="D30" s="5">
        <f t="shared" si="0"/>
        <v>0.73885104312311123</v>
      </c>
      <c r="E30" s="5">
        <f t="shared" si="0"/>
        <v>1.6241048654515731</v>
      </c>
      <c r="F30" s="5">
        <f t="shared" si="0"/>
        <v>1.7783151895023002</v>
      </c>
      <c r="G30" s="6">
        <f t="shared" si="0"/>
        <v>1.3302113488104592</v>
      </c>
      <c r="H30" s="8"/>
      <c r="N30" s="1"/>
      <c r="P30" s="10"/>
      <c r="Q30" s="10"/>
      <c r="R30" s="11"/>
    </row>
    <row r="31" spans="1:18" x14ac:dyDescent="0.25">
      <c r="A31" t="s">
        <v>59</v>
      </c>
      <c r="B31">
        <v>1</v>
      </c>
      <c r="C31" s="5">
        <f t="shared" si="2"/>
        <v>1.2501474879748717</v>
      </c>
      <c r="D31" s="5">
        <f t="shared" si="0"/>
        <v>1.8252648686767547</v>
      </c>
      <c r="E31" s="5">
        <f t="shared" si="0"/>
        <v>1.0117292882648601</v>
      </c>
      <c r="F31" s="5">
        <f t="shared" si="0"/>
        <v>2.7630387542542838</v>
      </c>
      <c r="G31" s="6">
        <f t="shared" si="0"/>
        <v>1.2370888649663547</v>
      </c>
      <c r="H31" s="8"/>
      <c r="N31" s="1"/>
      <c r="P31" s="10"/>
      <c r="Q31" s="10"/>
      <c r="R31" s="11"/>
    </row>
    <row r="32" spans="1:18" x14ac:dyDescent="0.25">
      <c r="A32" t="s">
        <v>60</v>
      </c>
      <c r="B32">
        <v>1</v>
      </c>
      <c r="C32" s="5">
        <f t="shared" si="2"/>
        <v>1.082228807713659</v>
      </c>
      <c r="D32" s="5">
        <f t="shared" si="0"/>
        <v>1.3575353635223384</v>
      </c>
      <c r="E32" s="5">
        <f t="shared" si="0"/>
        <v>1.0288095154650281</v>
      </c>
      <c r="F32" s="5">
        <f t="shared" si="0"/>
        <v>2.947954891293409</v>
      </c>
      <c r="G32" s="6">
        <f t="shared" si="0"/>
        <v>1.6033839265887566</v>
      </c>
      <c r="H32" s="8"/>
      <c r="N32" s="1"/>
      <c r="P32" s="10"/>
      <c r="Q32" s="10"/>
      <c r="R32" s="11"/>
    </row>
    <row r="33" spans="1:18" x14ac:dyDescent="0.25">
      <c r="A33" t="s">
        <v>61</v>
      </c>
      <c r="B33">
        <v>1</v>
      </c>
      <c r="C33" s="5">
        <f t="shared" si="2"/>
        <v>1.4024977443272986</v>
      </c>
      <c r="D33" s="5">
        <f t="shared" si="0"/>
        <v>2.0299651036978585</v>
      </c>
      <c r="E33" s="5">
        <f t="shared" si="0"/>
        <v>1.9380318292631031</v>
      </c>
      <c r="F33" s="5">
        <f t="shared" si="0"/>
        <v>2.7451582759090436</v>
      </c>
      <c r="G33" s="6">
        <f t="shared" si="0"/>
        <v>4.3098732867380161</v>
      </c>
      <c r="H33" s="8"/>
      <c r="N33" s="1"/>
      <c r="P33" s="10"/>
      <c r="Q33" s="10"/>
      <c r="R33" s="11"/>
    </row>
    <row r="34" spans="1:18" x14ac:dyDescent="0.25">
      <c r="A34" t="s">
        <v>62</v>
      </c>
      <c r="B34">
        <v>1</v>
      </c>
      <c r="C34" s="5">
        <f t="shared" si="2"/>
        <v>0.7705559334123715</v>
      </c>
      <c r="D34" s="5">
        <f t="shared" si="0"/>
        <v>1.183051922697796</v>
      </c>
      <c r="E34" s="5">
        <f t="shared" si="0"/>
        <v>1.1516128562202821</v>
      </c>
      <c r="F34" s="5">
        <f t="shared" si="0"/>
        <v>2.0915404861683284</v>
      </c>
      <c r="G34" s="6">
        <f t="shared" si="0"/>
        <v>2.3183906447124483</v>
      </c>
      <c r="H34" s="8"/>
      <c r="N34" s="1"/>
      <c r="P34" s="10"/>
      <c r="Q34" s="10"/>
      <c r="R34" s="11"/>
    </row>
    <row r="35" spans="1:18" x14ac:dyDescent="0.25">
      <c r="A35" t="s">
        <v>63</v>
      </c>
      <c r="B35">
        <v>1</v>
      </c>
      <c r="C35" s="5">
        <f t="shared" si="2"/>
        <v>0.88407714986803265</v>
      </c>
      <c r="D35" s="5">
        <f t="shared" si="0"/>
        <v>0.82655065562068786</v>
      </c>
      <c r="E35" s="5">
        <f t="shared" si="0"/>
        <v>1.1025676327561882</v>
      </c>
      <c r="F35" s="5">
        <f t="shared" si="0"/>
        <v>1.3916355300307264</v>
      </c>
      <c r="G35" s="6">
        <f t="shared" si="0"/>
        <v>3.625801791535876</v>
      </c>
      <c r="H35" s="8"/>
      <c r="N35" s="1"/>
      <c r="P35" s="10"/>
      <c r="Q35" s="10"/>
      <c r="R35" s="11"/>
    </row>
    <row r="36" spans="1:18" x14ac:dyDescent="0.25">
      <c r="P36" s="10"/>
      <c r="Q36" s="10"/>
      <c r="R36" s="11"/>
    </row>
    <row r="37" spans="1:18" x14ac:dyDescent="0.25">
      <c r="B37">
        <f>_xlfn.STDEV.P(B21:B35)</f>
        <v>0</v>
      </c>
      <c r="C37">
        <f t="shared" ref="C37:G37" si="8">_xlfn.STDEV.P(C21:C35)</f>
        <v>0.54181943369528862</v>
      </c>
      <c r="D37">
        <f t="shared" si="8"/>
        <v>0.49000344141505348</v>
      </c>
      <c r="E37">
        <f t="shared" si="8"/>
        <v>0.63558819378539444</v>
      </c>
      <c r="F37">
        <f t="shared" si="8"/>
        <v>1.2296601390391442</v>
      </c>
      <c r="G37">
        <f t="shared" si="8"/>
        <v>1.2572852875807614</v>
      </c>
      <c r="P37" s="10"/>
      <c r="Q37" s="10"/>
      <c r="R37" s="11"/>
    </row>
    <row r="38" spans="1:18" x14ac:dyDescent="0.25">
      <c r="P38" s="10"/>
      <c r="Q38" s="10"/>
      <c r="R38" s="11"/>
    </row>
    <row r="39" spans="1:18" x14ac:dyDescent="0.25">
      <c r="P39" s="10"/>
      <c r="Q39" s="10"/>
      <c r="R39" s="11"/>
    </row>
    <row r="40" spans="1:18" x14ac:dyDescent="0.25">
      <c r="P40" s="10"/>
      <c r="Q40" s="10"/>
      <c r="R40" s="11"/>
    </row>
    <row r="41" spans="1:18" x14ac:dyDescent="0.25">
      <c r="P41" s="10"/>
      <c r="Q41" s="10"/>
      <c r="R41" s="11"/>
    </row>
    <row r="42" spans="1:18" x14ac:dyDescent="0.25">
      <c r="P42" s="10"/>
      <c r="Q42" s="10"/>
      <c r="R42" s="11"/>
    </row>
    <row r="43" spans="1:18" x14ac:dyDescent="0.25">
      <c r="P43" s="10"/>
      <c r="Q43" s="10"/>
      <c r="R43" s="11"/>
    </row>
    <row r="44" spans="1:18" x14ac:dyDescent="0.25">
      <c r="P44" s="10"/>
      <c r="Q44" s="10"/>
      <c r="R44" s="11"/>
    </row>
    <row r="45" spans="1:18" x14ac:dyDescent="0.25">
      <c r="P45" s="10"/>
      <c r="Q45" s="10"/>
      <c r="R45" s="11"/>
    </row>
    <row r="46" spans="1:18" x14ac:dyDescent="0.25">
      <c r="P46" s="10"/>
      <c r="Q46" s="10"/>
      <c r="R46" s="11"/>
    </row>
    <row r="47" spans="1:18" x14ac:dyDescent="0.25">
      <c r="P47" s="10"/>
      <c r="Q47" s="10"/>
      <c r="R47" s="11"/>
    </row>
    <row r="48" spans="1:18" x14ac:dyDescent="0.25">
      <c r="P48" s="10"/>
      <c r="Q48" s="10"/>
      <c r="R48" s="11"/>
    </row>
    <row r="49" spans="16:18" x14ac:dyDescent="0.25">
      <c r="P49" s="10"/>
      <c r="Q49" s="10"/>
      <c r="R49" s="11"/>
    </row>
    <row r="50" spans="16:18" x14ac:dyDescent="0.25">
      <c r="P50" s="10"/>
      <c r="Q50" s="10"/>
      <c r="R50" s="11"/>
    </row>
    <row r="51" spans="16:18" x14ac:dyDescent="0.25">
      <c r="P51" s="10"/>
      <c r="Q51" s="10"/>
      <c r="R51" s="11"/>
    </row>
    <row r="52" spans="16:18" x14ac:dyDescent="0.25">
      <c r="P52" s="10"/>
      <c r="Q52" s="10"/>
      <c r="R52" s="11"/>
    </row>
    <row r="53" spans="16:18" x14ac:dyDescent="0.25">
      <c r="P53" s="10"/>
      <c r="Q53" s="10"/>
      <c r="R53" s="11"/>
    </row>
    <row r="54" spans="16:18" x14ac:dyDescent="0.25">
      <c r="P54" s="10"/>
      <c r="Q54" s="10"/>
      <c r="R54" s="11"/>
    </row>
    <row r="55" spans="16:18" x14ac:dyDescent="0.25">
      <c r="P55" s="10"/>
      <c r="Q55" s="10"/>
      <c r="R55" s="11"/>
    </row>
    <row r="56" spans="16:18" x14ac:dyDescent="0.25">
      <c r="P56" s="10"/>
      <c r="Q56" s="10"/>
      <c r="R56" s="11"/>
    </row>
    <row r="57" spans="16:18" x14ac:dyDescent="0.25">
      <c r="P57" s="10"/>
      <c r="Q57" s="10"/>
      <c r="R57" s="11"/>
    </row>
    <row r="58" spans="16:18" x14ac:dyDescent="0.25">
      <c r="P58" s="10"/>
      <c r="Q58" s="10"/>
      <c r="R58" s="11"/>
    </row>
    <row r="59" spans="16:18" x14ac:dyDescent="0.25">
      <c r="P59" s="10"/>
      <c r="Q59" s="10"/>
      <c r="R59" s="11"/>
    </row>
    <row r="60" spans="16:18" x14ac:dyDescent="0.25">
      <c r="P60" s="10"/>
      <c r="Q60" s="10"/>
      <c r="R60" s="11"/>
    </row>
    <row r="61" spans="16:18" x14ac:dyDescent="0.25">
      <c r="P61" s="10"/>
      <c r="Q61" s="10"/>
      <c r="R61" s="11"/>
    </row>
    <row r="62" spans="16:18" x14ac:dyDescent="0.25">
      <c r="P62" s="10"/>
      <c r="Q62" s="10"/>
      <c r="R62" s="11"/>
    </row>
    <row r="63" spans="16:18" x14ac:dyDescent="0.25">
      <c r="P63" s="10"/>
      <c r="Q63" s="10"/>
      <c r="R63" s="11"/>
    </row>
    <row r="64" spans="16:18" x14ac:dyDescent="0.25">
      <c r="P64" s="10"/>
      <c r="Q64" s="10"/>
      <c r="R64" s="11"/>
    </row>
    <row r="65" spans="16:18" x14ac:dyDescent="0.25">
      <c r="P65" s="10"/>
      <c r="Q65" s="10"/>
      <c r="R65" s="11"/>
    </row>
    <row r="66" spans="16:18" x14ac:dyDescent="0.25">
      <c r="P66" s="10"/>
      <c r="Q66" s="10"/>
      <c r="R66" s="11"/>
    </row>
    <row r="67" spans="16:18" x14ac:dyDescent="0.25">
      <c r="P67" s="10"/>
      <c r="Q67" s="10"/>
      <c r="R67" s="11"/>
    </row>
    <row r="68" spans="16:18" x14ac:dyDescent="0.25">
      <c r="P68" s="10"/>
      <c r="Q68" s="10"/>
      <c r="R68" s="11"/>
    </row>
    <row r="69" spans="16:18" x14ac:dyDescent="0.25">
      <c r="P69" s="10"/>
      <c r="Q69" s="10"/>
      <c r="R69" s="11"/>
    </row>
    <row r="70" spans="16:18" x14ac:dyDescent="0.25">
      <c r="P70" s="10"/>
      <c r="Q70" s="10"/>
      <c r="R70" s="11"/>
    </row>
    <row r="71" spans="16:18" x14ac:dyDescent="0.25">
      <c r="P71" s="10"/>
      <c r="Q71" s="10"/>
      <c r="R71" s="11"/>
    </row>
    <row r="72" spans="16:18" x14ac:dyDescent="0.25">
      <c r="P72" s="10"/>
      <c r="Q72" s="10"/>
      <c r="R72" s="11"/>
    </row>
    <row r="73" spans="16:18" x14ac:dyDescent="0.25">
      <c r="P73" s="10"/>
      <c r="Q73" s="10"/>
      <c r="R73" s="11"/>
    </row>
    <row r="74" spans="16:18" x14ac:dyDescent="0.25">
      <c r="P74" s="10"/>
      <c r="Q74" s="10"/>
      <c r="R74" s="11"/>
    </row>
    <row r="75" spans="16:18" x14ac:dyDescent="0.25">
      <c r="P75" s="10"/>
      <c r="Q75" s="10"/>
      <c r="R75" s="11"/>
    </row>
    <row r="76" spans="16:18" x14ac:dyDescent="0.25">
      <c r="P76" s="10"/>
      <c r="Q76" s="10"/>
      <c r="R76" s="11"/>
    </row>
    <row r="77" spans="16:18" x14ac:dyDescent="0.25">
      <c r="P77" s="10"/>
      <c r="Q77" s="10"/>
      <c r="R77" s="11"/>
    </row>
    <row r="78" spans="16:18" x14ac:dyDescent="0.25">
      <c r="P78" s="10"/>
      <c r="Q78" s="10"/>
      <c r="R78" s="11"/>
    </row>
    <row r="79" spans="16:18" x14ac:dyDescent="0.25">
      <c r="P79" s="10"/>
      <c r="Q79" s="10"/>
      <c r="R79" s="11"/>
    </row>
    <row r="80" spans="16:18" x14ac:dyDescent="0.25">
      <c r="P80" s="10"/>
      <c r="Q80" s="10"/>
      <c r="R80" s="11"/>
    </row>
    <row r="81" spans="16:18" x14ac:dyDescent="0.25">
      <c r="P81" s="10"/>
      <c r="Q81" s="10"/>
      <c r="R81" s="11"/>
    </row>
    <row r="82" spans="16:18" x14ac:dyDescent="0.25">
      <c r="P82" s="10"/>
      <c r="Q82" s="10"/>
      <c r="R82" s="9"/>
    </row>
    <row r="83" spans="16:18" x14ac:dyDescent="0.25">
      <c r="P83" s="10"/>
      <c r="Q83" s="10"/>
      <c r="R83" s="9"/>
    </row>
    <row r="84" spans="16:18" x14ac:dyDescent="0.25">
      <c r="P84" s="10"/>
      <c r="Q84" s="10"/>
      <c r="R84" s="9"/>
    </row>
    <row r="85" spans="16:18" x14ac:dyDescent="0.25">
      <c r="P85" s="10"/>
      <c r="Q85" s="10"/>
      <c r="R85" s="11"/>
    </row>
    <row r="86" spans="16:18" x14ac:dyDescent="0.25">
      <c r="P86" s="10"/>
      <c r="Q86" s="10"/>
      <c r="R86" s="11"/>
    </row>
    <row r="87" spans="16:18" x14ac:dyDescent="0.25">
      <c r="P87" s="10"/>
      <c r="Q87" s="10"/>
      <c r="R87" s="11"/>
    </row>
    <row r="88" spans="16:18" x14ac:dyDescent="0.25">
      <c r="P88" s="10"/>
      <c r="Q88" s="10"/>
      <c r="R88" s="11"/>
    </row>
    <row r="89" spans="16:18" x14ac:dyDescent="0.25">
      <c r="P89" s="10"/>
      <c r="Q89" s="10"/>
      <c r="R89" s="11"/>
    </row>
    <row r="90" spans="16:18" x14ac:dyDescent="0.25">
      <c r="P90" s="10"/>
      <c r="Q90" s="10"/>
      <c r="R90" s="11"/>
    </row>
    <row r="91" spans="16:18" x14ac:dyDescent="0.25">
      <c r="P91" s="10"/>
      <c r="Q91" s="10"/>
      <c r="R91" s="11"/>
    </row>
    <row r="92" spans="16:18" x14ac:dyDescent="0.25">
      <c r="P92" s="10"/>
      <c r="Q92" s="10"/>
      <c r="R92" s="11"/>
    </row>
    <row r="93" spans="16:18" x14ac:dyDescent="0.25">
      <c r="P93" s="10"/>
      <c r="Q93" s="10"/>
      <c r="R93" s="11"/>
    </row>
    <row r="94" spans="16:18" x14ac:dyDescent="0.25">
      <c r="P94" s="10"/>
      <c r="Q94" s="10"/>
      <c r="R94" s="9"/>
    </row>
    <row r="95" spans="16:18" x14ac:dyDescent="0.25">
      <c r="P95" s="10"/>
      <c r="Q95" s="10"/>
      <c r="R95" s="9"/>
    </row>
    <row r="96" spans="16:18" x14ac:dyDescent="0.25">
      <c r="P96" s="10"/>
      <c r="Q96" s="10"/>
      <c r="R96" s="9"/>
    </row>
  </sheetData>
  <mergeCells count="4">
    <mergeCell ref="A1:G1"/>
    <mergeCell ref="H1:N1"/>
    <mergeCell ref="A19:G19"/>
    <mergeCell ref="H19:N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11D7-A8FD-4E01-805D-5C26D36DE34F}">
  <dimension ref="A1:R96"/>
  <sheetViews>
    <sheetView topLeftCell="A11" zoomScaleNormal="100" workbookViewId="0">
      <selection activeCell="I21" sqref="I21:N25"/>
    </sheetView>
  </sheetViews>
  <sheetFormatPr defaultColWidth="8.85546875" defaultRowHeight="15" x14ac:dyDescent="0.25"/>
  <cols>
    <col min="1" max="1" width="11.42578125" customWidth="1"/>
    <col min="8" max="8" width="10.42578125" customWidth="1"/>
  </cols>
  <sheetData>
    <row r="1" spans="1:18" x14ac:dyDescent="0.25">
      <c r="A1" s="50" t="s">
        <v>0</v>
      </c>
      <c r="B1" s="50"/>
      <c r="C1" s="50"/>
      <c r="D1" s="50"/>
      <c r="E1" s="50"/>
      <c r="F1" s="50"/>
      <c r="G1" s="51"/>
      <c r="H1" s="49" t="s">
        <v>1</v>
      </c>
      <c r="I1" s="50"/>
      <c r="J1" s="50"/>
      <c r="K1" s="50"/>
      <c r="L1" s="50"/>
      <c r="M1" s="50"/>
      <c r="N1" s="51"/>
      <c r="P1" s="10" t="s">
        <v>3</v>
      </c>
      <c r="Q1" s="10" t="s">
        <v>2</v>
      </c>
      <c r="R1" s="11">
        <v>15.4430613065035</v>
      </c>
    </row>
    <row r="2" spans="1:18" x14ac:dyDescent="0.25">
      <c r="A2" t="s">
        <v>110</v>
      </c>
      <c r="B2">
        <v>0</v>
      </c>
      <c r="C2">
        <v>10</v>
      </c>
      <c r="D2">
        <v>20</v>
      </c>
      <c r="E2" s="18">
        <v>30</v>
      </c>
      <c r="F2">
        <v>60</v>
      </c>
      <c r="G2" s="1">
        <v>90</v>
      </c>
      <c r="H2" t="s">
        <v>110</v>
      </c>
      <c r="I2">
        <v>0</v>
      </c>
      <c r="J2">
        <v>10</v>
      </c>
      <c r="K2">
        <v>20</v>
      </c>
      <c r="L2" s="18">
        <v>30</v>
      </c>
      <c r="M2">
        <v>60</v>
      </c>
      <c r="N2" s="1">
        <v>90</v>
      </c>
      <c r="P2" s="10" t="s">
        <v>4</v>
      </c>
      <c r="Q2" s="10" t="s">
        <v>2</v>
      </c>
      <c r="R2" s="11">
        <v>19.7944287562798</v>
      </c>
    </row>
    <row r="3" spans="1:18" x14ac:dyDescent="0.25">
      <c r="A3" t="s">
        <v>49</v>
      </c>
      <c r="B3" s="11">
        <v>24.252412121242699</v>
      </c>
      <c r="C3" s="11">
        <v>24.0931372539542</v>
      </c>
      <c r="D3" s="11">
        <v>25.2050867152549</v>
      </c>
      <c r="E3" s="11">
        <v>24.5417498414817</v>
      </c>
      <c r="F3" s="11">
        <v>23.368096489370402</v>
      </c>
      <c r="G3" s="11">
        <v>22.989692739619699</v>
      </c>
      <c r="H3" s="8" t="s">
        <v>49</v>
      </c>
      <c r="I3" s="11">
        <v>15.0976459534014</v>
      </c>
      <c r="J3" s="11">
        <v>15.5038655251752</v>
      </c>
      <c r="K3" s="11">
        <v>18.684623265248302</v>
      </c>
      <c r="L3" s="11">
        <v>17.274535739098901</v>
      </c>
      <c r="M3" s="11">
        <v>16.367117036196799</v>
      </c>
      <c r="N3" s="12">
        <v>16.059355724662002</v>
      </c>
      <c r="P3" s="10" t="s">
        <v>5</v>
      </c>
      <c r="Q3" s="10" t="s">
        <v>2</v>
      </c>
      <c r="R3" s="11">
        <v>20.019398433747199</v>
      </c>
    </row>
    <row r="4" spans="1:18" x14ac:dyDescent="0.25">
      <c r="A4" t="s">
        <v>50</v>
      </c>
      <c r="B4" s="11">
        <v>24.405527813885701</v>
      </c>
      <c r="C4" s="11">
        <v>23.8398086123781</v>
      </c>
      <c r="D4" s="11">
        <v>25.196215631525099</v>
      </c>
      <c r="E4" s="11">
        <v>24.033662625195799</v>
      </c>
      <c r="F4" s="11">
        <v>23.015315388466998</v>
      </c>
      <c r="G4" s="11">
        <v>21.866847094834501</v>
      </c>
      <c r="H4" s="8" t="s">
        <v>50</v>
      </c>
      <c r="I4" s="11">
        <v>15.342855545040701</v>
      </c>
      <c r="J4" s="11">
        <v>15.5612414312842</v>
      </c>
      <c r="K4" s="11">
        <v>19.045021980968901</v>
      </c>
      <c r="L4" s="11">
        <v>17.764620755119498</v>
      </c>
      <c r="M4" s="11">
        <v>16.403038005408401</v>
      </c>
      <c r="N4" s="12">
        <v>16.232017497923199</v>
      </c>
      <c r="P4" s="10" t="s">
        <v>6</v>
      </c>
      <c r="Q4" s="10" t="s">
        <v>2</v>
      </c>
      <c r="R4" s="11">
        <v>15.37874567631</v>
      </c>
    </row>
    <row r="5" spans="1:18" x14ac:dyDescent="0.25">
      <c r="A5" t="s">
        <v>51</v>
      </c>
      <c r="B5" s="11">
        <v>24.6261129712938</v>
      </c>
      <c r="C5" s="11">
        <v>24.092830394899799</v>
      </c>
      <c r="D5" s="11">
        <v>25.283765796782902</v>
      </c>
      <c r="E5" s="11">
        <v>25.105807575540101</v>
      </c>
      <c r="F5" s="11">
        <v>23.1596943862728</v>
      </c>
      <c r="G5" s="11">
        <v>22.048262992924801</v>
      </c>
      <c r="H5" s="8" t="s">
        <v>51</v>
      </c>
      <c r="I5" s="11">
        <v>15.3020793200333</v>
      </c>
      <c r="J5" s="11">
        <v>15.3095143459634</v>
      </c>
      <c r="K5" s="11">
        <v>19.166954715848899</v>
      </c>
      <c r="L5" s="11">
        <v>17.691437920926202</v>
      </c>
      <c r="M5" s="11">
        <v>16.820659597195601</v>
      </c>
      <c r="N5" s="12">
        <v>16.2028762004282</v>
      </c>
      <c r="P5" s="10" t="s">
        <v>7</v>
      </c>
      <c r="Q5" s="10" t="s">
        <v>2</v>
      </c>
      <c r="R5" s="11">
        <v>15.7565741177962</v>
      </c>
    </row>
    <row r="6" spans="1:18" x14ac:dyDescent="0.25">
      <c r="A6" t="s">
        <v>52</v>
      </c>
      <c r="B6" s="11">
        <v>23.289493364281199</v>
      </c>
      <c r="C6" s="11">
        <v>23.172081663003901</v>
      </c>
      <c r="D6" s="11">
        <v>25.2489557511086</v>
      </c>
      <c r="E6" s="11">
        <v>22.592467968725899</v>
      </c>
      <c r="F6" s="11">
        <v>23.1322897526925</v>
      </c>
      <c r="G6" s="11">
        <v>22.6248889497958</v>
      </c>
      <c r="H6" s="8" t="s">
        <v>52</v>
      </c>
      <c r="I6" s="11">
        <v>15.188319167481801</v>
      </c>
      <c r="J6" s="11">
        <v>15.098398055829801</v>
      </c>
      <c r="K6" s="11">
        <v>18.802954823692801</v>
      </c>
      <c r="L6" s="11">
        <v>15.5753696367901</v>
      </c>
      <c r="M6" s="11">
        <v>16.768721778877001</v>
      </c>
      <c r="N6" s="12">
        <v>16.1132995984118</v>
      </c>
      <c r="P6" s="10" t="s">
        <v>8</v>
      </c>
      <c r="Q6" s="10" t="s">
        <v>2</v>
      </c>
      <c r="R6" s="11">
        <v>17.960289853468002</v>
      </c>
    </row>
    <row r="7" spans="1:18" x14ac:dyDescent="0.25">
      <c r="A7" t="s">
        <v>53</v>
      </c>
      <c r="B7" s="11">
        <v>23.4440144834991</v>
      </c>
      <c r="C7" s="11">
        <v>23.1358128914307</v>
      </c>
      <c r="D7" s="11">
        <v>24.8281327091652</v>
      </c>
      <c r="E7" s="11">
        <v>22.366396649977101</v>
      </c>
      <c r="F7" s="11">
        <v>22.856521329797399</v>
      </c>
      <c r="G7" s="11">
        <v>22.500748894349702</v>
      </c>
      <c r="H7" s="8" t="s">
        <v>53</v>
      </c>
      <c r="I7" s="11">
        <v>15.3514077322306</v>
      </c>
      <c r="J7" s="11">
        <v>15.262563213749401</v>
      </c>
      <c r="K7" s="11">
        <v>18.925409088950499</v>
      </c>
      <c r="L7" s="11">
        <v>15.7387647550387</v>
      </c>
      <c r="M7" s="11">
        <v>16.847582641168099</v>
      </c>
      <c r="N7" s="12">
        <v>15.965793224250501</v>
      </c>
      <c r="P7" s="10" t="s">
        <v>9</v>
      </c>
      <c r="Q7" s="10" t="s">
        <v>2</v>
      </c>
      <c r="R7" s="11">
        <v>14.998464308029</v>
      </c>
    </row>
    <row r="8" spans="1:18" x14ac:dyDescent="0.25">
      <c r="A8" t="s">
        <v>54</v>
      </c>
      <c r="B8" s="11">
        <v>23.3924275313849</v>
      </c>
      <c r="C8" s="11">
        <v>24.498717663476398</v>
      </c>
      <c r="D8" s="11">
        <v>23.013518985596999</v>
      </c>
      <c r="E8" s="11">
        <v>22.496754618234199</v>
      </c>
      <c r="F8" s="11">
        <v>22.794437114159301</v>
      </c>
      <c r="G8" s="11">
        <v>22.786694847655401</v>
      </c>
      <c r="H8" s="8" t="s">
        <v>54</v>
      </c>
      <c r="I8" s="11">
        <v>15.4735763291835</v>
      </c>
      <c r="J8" s="11">
        <v>15.3024623166875</v>
      </c>
      <c r="K8" s="11">
        <v>18.835761242125599</v>
      </c>
      <c r="L8" s="11">
        <v>15.656133394540101</v>
      </c>
      <c r="M8" s="11">
        <v>16.6441650700807</v>
      </c>
      <c r="N8" s="12">
        <v>16.223796275962101</v>
      </c>
      <c r="P8" s="10" t="s">
        <v>10</v>
      </c>
      <c r="Q8" s="10" t="s">
        <v>2</v>
      </c>
      <c r="R8" s="11">
        <v>18.1689957706424</v>
      </c>
    </row>
    <row r="9" spans="1:18" x14ac:dyDescent="0.25">
      <c r="A9" t="s">
        <v>55</v>
      </c>
      <c r="B9" s="14">
        <v>24.276355806771999</v>
      </c>
      <c r="C9" s="11">
        <v>24.558719229005501</v>
      </c>
      <c r="D9" s="11">
        <v>25.7649218029633</v>
      </c>
      <c r="E9" s="11">
        <v>24.394419129791899</v>
      </c>
      <c r="F9" s="14">
        <v>22.9392823830607</v>
      </c>
      <c r="G9" s="11">
        <v>22.916128874463499</v>
      </c>
      <c r="H9" s="8" t="s">
        <v>55</v>
      </c>
      <c r="I9" s="11">
        <v>15.3105074556325</v>
      </c>
      <c r="J9" s="11">
        <v>16.020314547737801</v>
      </c>
      <c r="K9" s="11">
        <v>18.720477180286998</v>
      </c>
      <c r="L9" s="11">
        <v>16.2249662986254</v>
      </c>
      <c r="M9" s="11">
        <v>15.569496061186699</v>
      </c>
      <c r="N9" s="12">
        <v>16.243850832780598</v>
      </c>
      <c r="P9" s="10" t="s">
        <v>11</v>
      </c>
      <c r="Q9" s="10" t="s">
        <v>2</v>
      </c>
      <c r="R9" s="11">
        <v>19.210186982147899</v>
      </c>
    </row>
    <row r="10" spans="1:18" x14ac:dyDescent="0.25">
      <c r="A10" t="s">
        <v>56</v>
      </c>
      <c r="B10" s="11">
        <v>24.902388958957701</v>
      </c>
      <c r="C10" s="11">
        <v>24.639969423103</v>
      </c>
      <c r="D10" s="14">
        <v>25.600118683121199</v>
      </c>
      <c r="E10" s="11">
        <v>24.9554826608802</v>
      </c>
      <c r="F10" s="11">
        <v>24.243068289720799</v>
      </c>
      <c r="G10" s="14">
        <v>21.922850016126699</v>
      </c>
      <c r="H10" s="8" t="s">
        <v>56</v>
      </c>
      <c r="I10" s="11">
        <v>15.471826681903901</v>
      </c>
      <c r="J10" s="11">
        <v>15.935672765018801</v>
      </c>
      <c r="K10" s="11">
        <v>18.8818658185629</v>
      </c>
      <c r="L10" s="11">
        <v>15.7300590885147</v>
      </c>
      <c r="M10" s="11">
        <v>16.376630456714</v>
      </c>
      <c r="N10" s="12">
        <v>16.307566506139999</v>
      </c>
      <c r="P10" s="10" t="s">
        <v>12</v>
      </c>
      <c r="Q10" s="10" t="s">
        <v>2</v>
      </c>
      <c r="R10" s="11">
        <v>15.3582354196464</v>
      </c>
    </row>
    <row r="11" spans="1:18" x14ac:dyDescent="0.25">
      <c r="A11" t="s">
        <v>57</v>
      </c>
      <c r="B11" s="11">
        <v>24.270073450452401</v>
      </c>
      <c r="C11" s="11">
        <v>24.235046463884199</v>
      </c>
      <c r="D11" s="11">
        <v>25.780807416453399</v>
      </c>
      <c r="E11" s="11">
        <v>24.670572546587302</v>
      </c>
      <c r="F11" s="11">
        <v>24.247173634942399</v>
      </c>
      <c r="G11" s="11">
        <v>22.678044249265099</v>
      </c>
      <c r="H11" s="8" t="s">
        <v>57</v>
      </c>
      <c r="I11" s="11">
        <v>15.2266711510715</v>
      </c>
      <c r="J11" s="11">
        <v>15.999282353515101</v>
      </c>
      <c r="K11" s="11">
        <v>19.124107513029799</v>
      </c>
      <c r="L11" s="11">
        <v>15.650138638686499</v>
      </c>
      <c r="M11" s="11">
        <v>15.510168285749</v>
      </c>
      <c r="N11" s="12">
        <v>16.154250827759402</v>
      </c>
      <c r="P11" s="10" t="s">
        <v>13</v>
      </c>
      <c r="Q11" s="10" t="s">
        <v>2</v>
      </c>
      <c r="R11" s="11">
        <v>16.196778327540098</v>
      </c>
    </row>
    <row r="12" spans="1:18" x14ac:dyDescent="0.25">
      <c r="A12" t="s">
        <v>58</v>
      </c>
      <c r="B12" s="11">
        <v>25.6529755955365</v>
      </c>
      <c r="C12" s="11">
        <v>27.3387640896152</v>
      </c>
      <c r="D12" s="11">
        <v>29.492493885851101</v>
      </c>
      <c r="E12" s="11">
        <v>24.1767324187912</v>
      </c>
      <c r="F12" s="11">
        <v>24.682061674952699</v>
      </c>
      <c r="G12" s="11">
        <v>24.675645739037702</v>
      </c>
      <c r="H12" s="8" t="s">
        <v>58</v>
      </c>
      <c r="I12" s="11">
        <v>15.4430613065035</v>
      </c>
      <c r="J12" s="11">
        <v>19.7944287562798</v>
      </c>
      <c r="K12" s="11">
        <v>20.019398433747199</v>
      </c>
      <c r="L12" s="11">
        <v>15.37874567631</v>
      </c>
      <c r="M12" s="11">
        <v>15.7565741177962</v>
      </c>
      <c r="N12" s="12">
        <v>17.960289853468002</v>
      </c>
      <c r="P12" s="10" t="s">
        <v>14</v>
      </c>
      <c r="Q12" s="10" t="s">
        <v>2</v>
      </c>
      <c r="R12" s="11">
        <v>16.377028976764599</v>
      </c>
    </row>
    <row r="13" spans="1:18" x14ac:dyDescent="0.25">
      <c r="A13" t="s">
        <v>59</v>
      </c>
      <c r="B13" s="11">
        <v>25.2681420834774</v>
      </c>
      <c r="C13" s="11">
        <v>27.360068083709098</v>
      </c>
      <c r="D13" s="11">
        <v>27.403729517720201</v>
      </c>
      <c r="E13" s="11">
        <v>23.6850299439369</v>
      </c>
      <c r="F13" s="9"/>
      <c r="G13" s="11">
        <v>24.429561529736802</v>
      </c>
      <c r="H13" s="8" t="s">
        <v>59</v>
      </c>
      <c r="I13" s="11">
        <v>15.4227132337206</v>
      </c>
      <c r="J13" s="11">
        <v>19.796170405307901</v>
      </c>
      <c r="K13" s="11">
        <v>20.153191478624802</v>
      </c>
      <c r="L13" s="11">
        <v>16.132211315427099</v>
      </c>
      <c r="M13" s="11">
        <v>15.9670887733608</v>
      </c>
      <c r="N13" s="12">
        <v>18.457943808272599</v>
      </c>
      <c r="P13" s="10" t="s">
        <v>3</v>
      </c>
      <c r="Q13" s="10" t="s">
        <v>2</v>
      </c>
      <c r="R13" s="11">
        <v>15.4227132337206</v>
      </c>
    </row>
    <row r="14" spans="1:18" x14ac:dyDescent="0.25">
      <c r="A14" t="s">
        <v>60</v>
      </c>
      <c r="B14" s="11">
        <v>25.078974778237601</v>
      </c>
      <c r="C14" s="11">
        <v>27.683939385676201</v>
      </c>
      <c r="D14" s="11">
        <v>28.328992797827201</v>
      </c>
      <c r="E14" s="11">
        <v>24.151398980323599</v>
      </c>
      <c r="F14" s="11">
        <v>26.056951089243899</v>
      </c>
      <c r="G14" s="11">
        <v>24.984753614094799</v>
      </c>
      <c r="H14" s="8" t="s">
        <v>60</v>
      </c>
      <c r="I14" s="11">
        <v>15.3233901488251</v>
      </c>
      <c r="J14" s="11">
        <v>19.851294873691</v>
      </c>
      <c r="K14" s="11">
        <v>20.227789595145602</v>
      </c>
      <c r="L14" s="11">
        <v>15.8251543869328</v>
      </c>
      <c r="M14" s="11">
        <v>16.052286161448301</v>
      </c>
      <c r="N14" s="12">
        <v>18.146707678892099</v>
      </c>
      <c r="P14" s="10" t="s">
        <v>4</v>
      </c>
      <c r="Q14" s="10" t="s">
        <v>2</v>
      </c>
      <c r="R14" s="11">
        <v>19.796170405307901</v>
      </c>
    </row>
    <row r="15" spans="1:18" x14ac:dyDescent="0.25">
      <c r="A15" t="s">
        <v>61</v>
      </c>
      <c r="B15" s="11">
        <v>23.3760634121059</v>
      </c>
      <c r="C15" s="11">
        <v>24.927425296327801</v>
      </c>
      <c r="D15" s="11">
        <v>25.041606548585101</v>
      </c>
      <c r="E15" s="11">
        <v>22.2014252161268</v>
      </c>
      <c r="F15" s="11">
        <v>22.017145514255699</v>
      </c>
      <c r="G15" s="11">
        <v>21.536036431660499</v>
      </c>
      <c r="H15" s="8" t="s">
        <v>61</v>
      </c>
      <c r="I15" s="11">
        <v>14.998464308029</v>
      </c>
      <c r="J15" s="11">
        <v>18.1689957706424</v>
      </c>
      <c r="K15" s="11">
        <v>19.210186982147899</v>
      </c>
      <c r="L15" s="11">
        <v>15.3582354196464</v>
      </c>
      <c r="M15" s="11">
        <v>16.196778327540098</v>
      </c>
      <c r="N15" s="12">
        <v>16.377028976764599</v>
      </c>
      <c r="P15" s="10" t="s">
        <v>5</v>
      </c>
      <c r="Q15" s="10" t="s">
        <v>2</v>
      </c>
      <c r="R15" s="11">
        <v>20.153191478624802</v>
      </c>
    </row>
    <row r="16" spans="1:18" x14ac:dyDescent="0.25">
      <c r="A16" t="s">
        <v>62</v>
      </c>
      <c r="B16" s="11">
        <v>22.7286224877659</v>
      </c>
      <c r="C16" s="11">
        <v>24.0339739591716</v>
      </c>
      <c r="D16" s="11">
        <v>25.217781213432001</v>
      </c>
      <c r="E16" s="11">
        <v>22.136002197073299</v>
      </c>
      <c r="F16" s="11">
        <v>21.9714105536166</v>
      </c>
      <c r="G16" s="11">
        <v>21.625432935079601</v>
      </c>
      <c r="H16" s="8" t="s">
        <v>62</v>
      </c>
      <c r="I16" s="11">
        <v>16.1672219019698</v>
      </c>
      <c r="J16" s="11">
        <v>18.202124363176999</v>
      </c>
      <c r="K16" s="11">
        <v>19.313480056865799</v>
      </c>
      <c r="L16" s="11">
        <v>15.187704950369</v>
      </c>
      <c r="M16" s="11">
        <v>16.224295252897999</v>
      </c>
      <c r="N16" s="12">
        <v>16.312705533680401</v>
      </c>
      <c r="P16" s="10" t="s">
        <v>6</v>
      </c>
      <c r="Q16" s="10" t="s">
        <v>2</v>
      </c>
      <c r="R16" s="11">
        <v>16.132211315427099</v>
      </c>
    </row>
    <row r="17" spans="1:18" x14ac:dyDescent="0.25">
      <c r="A17" t="s">
        <v>63</v>
      </c>
      <c r="B17" s="11">
        <v>23.3560695059426</v>
      </c>
      <c r="C17" s="11">
        <v>24.280491244961599</v>
      </c>
      <c r="D17" s="11">
        <v>25.406181097915201</v>
      </c>
      <c r="E17" s="11">
        <v>23.626754782366699</v>
      </c>
      <c r="F17" s="11">
        <v>21.910861962965399</v>
      </c>
      <c r="G17" s="11">
        <v>21.7395301060935</v>
      </c>
      <c r="H17" s="8" t="s">
        <v>63</v>
      </c>
      <c r="I17" s="11">
        <v>14.908581891411201</v>
      </c>
      <c r="J17" s="11">
        <v>18.0109027348208</v>
      </c>
      <c r="K17" s="11">
        <v>19.821310781886901</v>
      </c>
      <c r="L17" s="11">
        <v>15.6009336007365</v>
      </c>
      <c r="M17" s="11">
        <v>16.179824883837501</v>
      </c>
      <c r="N17" s="12">
        <v>16.1871462958831</v>
      </c>
      <c r="P17" s="10" t="s">
        <v>7</v>
      </c>
      <c r="Q17" s="10" t="s">
        <v>2</v>
      </c>
      <c r="R17" s="11">
        <v>15.9670887733608</v>
      </c>
    </row>
    <row r="18" spans="1:18" x14ac:dyDescent="0.25">
      <c r="E18" s="4"/>
      <c r="F18" s="4"/>
      <c r="G18" s="1"/>
      <c r="H18" s="8"/>
      <c r="J18" s="4"/>
      <c r="N18" s="1"/>
      <c r="P18" s="10" t="s">
        <v>8</v>
      </c>
      <c r="Q18" s="10" t="s">
        <v>2</v>
      </c>
      <c r="R18" s="11">
        <v>18.457943808272599</v>
      </c>
    </row>
    <row r="19" spans="1:18" x14ac:dyDescent="0.25">
      <c r="A19" s="50" t="s">
        <v>0</v>
      </c>
      <c r="B19" s="50"/>
      <c r="C19" s="50"/>
      <c r="D19" s="50"/>
      <c r="E19" s="50"/>
      <c r="F19" s="50"/>
      <c r="G19" s="51"/>
      <c r="H19" s="49" t="s">
        <v>117</v>
      </c>
      <c r="I19" s="50"/>
      <c r="J19" s="50"/>
      <c r="K19" s="50"/>
      <c r="L19" s="50"/>
      <c r="M19" s="50"/>
      <c r="N19" s="51"/>
      <c r="P19" s="10" t="s">
        <v>9</v>
      </c>
      <c r="Q19" s="10" t="s">
        <v>2</v>
      </c>
      <c r="R19" s="11">
        <v>16.1672219019698</v>
      </c>
    </row>
    <row r="20" spans="1:18" x14ac:dyDescent="0.25">
      <c r="A20" t="s">
        <v>110</v>
      </c>
      <c r="B20">
        <v>0</v>
      </c>
      <c r="C20">
        <v>10</v>
      </c>
      <c r="D20">
        <v>20</v>
      </c>
      <c r="E20" s="18">
        <v>30</v>
      </c>
      <c r="F20">
        <v>60</v>
      </c>
      <c r="G20" s="1">
        <v>90</v>
      </c>
      <c r="H20" t="s">
        <v>110</v>
      </c>
      <c r="I20">
        <v>0</v>
      </c>
      <c r="J20">
        <v>10</v>
      </c>
      <c r="K20">
        <v>20</v>
      </c>
      <c r="L20" s="18">
        <v>30</v>
      </c>
      <c r="M20">
        <v>60</v>
      </c>
      <c r="N20" s="1">
        <v>90</v>
      </c>
      <c r="P20" s="10" t="s">
        <v>10</v>
      </c>
      <c r="Q20" s="10" t="s">
        <v>2</v>
      </c>
      <c r="R20" s="11">
        <v>18.202124363176999</v>
      </c>
    </row>
    <row r="21" spans="1:18" x14ac:dyDescent="0.25">
      <c r="A21" t="s">
        <v>49</v>
      </c>
      <c r="B21">
        <v>1</v>
      </c>
      <c r="C21" s="5">
        <f>2^-((C3-J3)-($B3-$I3))</f>
        <v>1.4798946104103894</v>
      </c>
      <c r="D21" s="5">
        <f t="shared" ref="D21:G35" si="0">2^-((D3-K3)-($B3-$I3))</f>
        <v>6.2087494670974239</v>
      </c>
      <c r="E21" s="5">
        <f t="shared" si="0"/>
        <v>3.7000687195633351</v>
      </c>
      <c r="F21" s="5">
        <f t="shared" si="0"/>
        <v>4.4499425625351661</v>
      </c>
      <c r="G21" s="6">
        <f t="shared" si="0"/>
        <v>4.673259508046689</v>
      </c>
      <c r="H21" s="8" t="s">
        <v>98</v>
      </c>
      <c r="I21" s="5">
        <f>AVERAGE(B21:B23)</f>
        <v>1</v>
      </c>
      <c r="J21" s="5">
        <f>AVERAGE(C21:C23)</f>
        <v>1.5522047753120169</v>
      </c>
      <c r="K21" s="5">
        <f>AVERAGE(D21:D23)</f>
        <v>7.6561156017336556</v>
      </c>
      <c r="L21" s="5">
        <f>AVERAGE(E21:E23)</f>
        <v>4.7970028343712334</v>
      </c>
      <c r="M21" s="5">
        <f t="shared" ref="M21:N21" si="1">AVERAGE(F21:F23)</f>
        <v>5.9442821395501921</v>
      </c>
      <c r="N21" s="5">
        <f t="shared" si="1"/>
        <v>8.8608374772109944</v>
      </c>
      <c r="P21" s="10" t="s">
        <v>11</v>
      </c>
      <c r="Q21" s="10" t="s">
        <v>2</v>
      </c>
      <c r="R21" s="11">
        <v>19.313480056865799</v>
      </c>
    </row>
    <row r="22" spans="1:18" x14ac:dyDescent="0.25">
      <c r="A22" t="s">
        <v>50</v>
      </c>
      <c r="B22">
        <v>1</v>
      </c>
      <c r="C22" s="5">
        <f t="shared" ref="C22:C35" si="2">2^-((C4-J4)-($B4-$I4))</f>
        <v>1.7220238065249973</v>
      </c>
      <c r="D22" s="5">
        <f t="shared" si="0"/>
        <v>7.5238892782977977</v>
      </c>
      <c r="E22" s="5">
        <f t="shared" si="0"/>
        <v>6.9337239433338373</v>
      </c>
      <c r="F22" s="5">
        <f t="shared" si="0"/>
        <v>5.4656568489265505</v>
      </c>
      <c r="G22" s="6">
        <f t="shared" si="0"/>
        <v>10.761764017612771</v>
      </c>
      <c r="H22" s="8" t="s">
        <v>99</v>
      </c>
      <c r="I22" s="5">
        <f>AVERAGE(B24:B26)</f>
        <v>1</v>
      </c>
      <c r="J22" s="5">
        <f t="shared" ref="J22:N22" si="3">AVERAGE(C24:C26)</f>
        <v>0.86532983361138116</v>
      </c>
      <c r="K22" s="5">
        <f t="shared" si="3"/>
        <v>7.0279443081507251</v>
      </c>
      <c r="L22" s="5">
        <f t="shared" si="3"/>
        <v>2.3306825439082819</v>
      </c>
      <c r="M22" s="5">
        <f t="shared" si="3"/>
        <v>3.6602773049252484</v>
      </c>
      <c r="N22" s="5">
        <f t="shared" si="3"/>
        <v>2.8376765935237569</v>
      </c>
      <c r="P22" s="10" t="s">
        <v>12</v>
      </c>
      <c r="Q22" s="10" t="s">
        <v>2</v>
      </c>
      <c r="R22" s="11">
        <v>15.187704950369</v>
      </c>
    </row>
    <row r="23" spans="1:18" x14ac:dyDescent="0.25">
      <c r="A23" t="s">
        <v>51</v>
      </c>
      <c r="B23">
        <v>1</v>
      </c>
      <c r="C23" s="5">
        <f t="shared" si="2"/>
        <v>1.4546959090006637</v>
      </c>
      <c r="D23" s="5">
        <f t="shared" si="0"/>
        <v>9.2357080598057433</v>
      </c>
      <c r="E23" s="5">
        <f t="shared" si="0"/>
        <v>3.757215840216527</v>
      </c>
      <c r="F23" s="5">
        <f t="shared" si="0"/>
        <v>7.9172470071888599</v>
      </c>
      <c r="G23" s="6">
        <f t="shared" si="0"/>
        <v>11.147488905973521</v>
      </c>
      <c r="H23" s="8" t="s">
        <v>100</v>
      </c>
      <c r="I23" s="5">
        <f>AVERAGE(B27:B29)</f>
        <v>1</v>
      </c>
      <c r="J23" s="5">
        <f t="shared" ref="J23:N23" si="4">AVERAGE(C27:C29)</f>
        <v>1.5831811483423337</v>
      </c>
      <c r="K23" s="5">
        <f t="shared" si="4"/>
        <v>5.1904066314141639</v>
      </c>
      <c r="L23" s="5">
        <f t="shared" si="4"/>
        <v>1.3018671947624727</v>
      </c>
      <c r="M23" s="5">
        <f t="shared" si="4"/>
        <v>2.405588404554877</v>
      </c>
      <c r="N23" s="5">
        <f t="shared" si="4"/>
        <v>8.2380167433059412</v>
      </c>
      <c r="P23" s="10" t="s">
        <v>13</v>
      </c>
      <c r="Q23" s="10" t="s">
        <v>2</v>
      </c>
      <c r="R23" s="11">
        <v>16.224295252897999</v>
      </c>
    </row>
    <row r="24" spans="1:18" x14ac:dyDescent="0.25">
      <c r="A24" t="s">
        <v>52</v>
      </c>
      <c r="B24">
        <v>1</v>
      </c>
      <c r="C24" s="5">
        <f t="shared" si="2"/>
        <v>1.0192377303153213</v>
      </c>
      <c r="D24" s="5">
        <f t="shared" si="0"/>
        <v>3.1496101554733467</v>
      </c>
      <c r="E24" s="5">
        <f t="shared" si="0"/>
        <v>2.1200170460543886</v>
      </c>
      <c r="F24" s="5">
        <f t="shared" si="0"/>
        <v>3.3348138288786378</v>
      </c>
      <c r="G24" s="6">
        <f t="shared" si="0"/>
        <v>3.0096273101247633</v>
      </c>
      <c r="H24" s="8" t="s">
        <v>101</v>
      </c>
      <c r="I24" s="5">
        <f>AVERAGE(B30:B32)</f>
        <v>1</v>
      </c>
      <c r="J24" s="5">
        <f t="shared" ref="J24:N24" si="5">AVERAGE(C30:C32)</f>
        <v>4.9995687120716852</v>
      </c>
      <c r="K24" s="5">
        <f t="shared" si="5"/>
        <v>3.6186040472801815</v>
      </c>
      <c r="L24" s="5">
        <f t="shared" si="5"/>
        <v>3.4178589146349885</v>
      </c>
      <c r="M24" s="5">
        <f>AVERAGE(F30:F3132)</f>
        <v>3.2472397957909229</v>
      </c>
      <c r="N24" s="5">
        <f t="shared" si="5"/>
        <v>11.162218172240372</v>
      </c>
      <c r="P24" s="10" t="s">
        <v>14</v>
      </c>
      <c r="Q24" s="10" t="s">
        <v>2</v>
      </c>
      <c r="R24" s="11">
        <v>16.312705533680401</v>
      </c>
    </row>
    <row r="25" spans="1:18" x14ac:dyDescent="0.25">
      <c r="A25" t="s">
        <v>53</v>
      </c>
      <c r="B25">
        <v>1</v>
      </c>
      <c r="C25" s="5">
        <f t="shared" si="2"/>
        <v>1.1642146471686632</v>
      </c>
      <c r="D25" s="5">
        <f t="shared" si="0"/>
        <v>4.5626852373233042</v>
      </c>
      <c r="E25" s="5">
        <f t="shared" si="0"/>
        <v>2.760586594142314</v>
      </c>
      <c r="F25" s="5">
        <f t="shared" si="0"/>
        <v>4.2388357439275914</v>
      </c>
      <c r="G25" s="6">
        <f t="shared" si="0"/>
        <v>2.9437416881159462</v>
      </c>
      <c r="H25" s="8" t="s">
        <v>102</v>
      </c>
      <c r="I25" s="5">
        <f>AVERAGE(B33:B35)</f>
        <v>1</v>
      </c>
      <c r="J25" s="5">
        <f t="shared" ref="J25:N25" si="6">AVERAGE(C33:C35)</f>
        <v>3.0850153157179885</v>
      </c>
      <c r="K25" s="5">
        <f t="shared" si="6"/>
        <v>4.8970334212290751</v>
      </c>
      <c r="L25" s="5">
        <f t="shared" si="6"/>
        <v>1.6669816113425899</v>
      </c>
      <c r="M25" s="5">
        <f t="shared" si="6"/>
        <v>4.7389125583204113</v>
      </c>
      <c r="N25" s="5">
        <f t="shared" si="6"/>
        <v>6.3746599020916834</v>
      </c>
      <c r="P25" s="10" t="s">
        <v>3</v>
      </c>
      <c r="Q25" s="10" t="s">
        <v>2</v>
      </c>
      <c r="R25" s="11">
        <v>15.3233901488251</v>
      </c>
    </row>
    <row r="26" spans="1:18" x14ac:dyDescent="0.25">
      <c r="A26" t="s">
        <v>54</v>
      </c>
      <c r="B26">
        <v>1</v>
      </c>
      <c r="C26" s="5">
        <f t="shared" si="2"/>
        <v>0.41253712335015896</v>
      </c>
      <c r="D26" s="5">
        <f t="shared" si="0"/>
        <v>13.371537531655525</v>
      </c>
      <c r="E26" s="5">
        <f t="shared" si="0"/>
        <v>2.1114439915281431</v>
      </c>
      <c r="F26" s="5">
        <f t="shared" si="0"/>
        <v>3.407182341969516</v>
      </c>
      <c r="G26" s="6">
        <f>2^-((G8-N8)-($B8-$I8))</f>
        <v>2.5596607823305617</v>
      </c>
      <c r="H26" s="49" t="s">
        <v>122</v>
      </c>
      <c r="I26" s="50"/>
      <c r="J26" s="50"/>
      <c r="K26" s="50"/>
      <c r="L26" s="50"/>
      <c r="M26" s="50"/>
      <c r="N26" s="50"/>
      <c r="P26" s="10" t="s">
        <v>4</v>
      </c>
      <c r="Q26" s="10" t="s">
        <v>2</v>
      </c>
      <c r="R26" s="11">
        <v>19.851294873691</v>
      </c>
    </row>
    <row r="27" spans="1:18" x14ac:dyDescent="0.25">
      <c r="A27" t="s">
        <v>55</v>
      </c>
      <c r="B27">
        <v>1</v>
      </c>
      <c r="C27" s="5">
        <f t="shared" si="2"/>
        <v>1.3448485098382794</v>
      </c>
      <c r="D27" s="5">
        <f t="shared" si="0"/>
        <v>3.7879143989015263</v>
      </c>
      <c r="E27" s="5">
        <f t="shared" si="0"/>
        <v>1.7367565279153949</v>
      </c>
      <c r="F27" s="5">
        <f t="shared" si="0"/>
        <v>3.023169836266268</v>
      </c>
      <c r="G27" s="6">
        <f t="shared" si="0"/>
        <v>4.9026790147587418</v>
      </c>
      <c r="H27" s="8"/>
      <c r="I27" s="20">
        <v>0</v>
      </c>
      <c r="J27" s="20">
        <v>10</v>
      </c>
      <c r="K27" s="20">
        <v>20</v>
      </c>
      <c r="L27" s="18">
        <v>30</v>
      </c>
      <c r="M27" s="20">
        <v>60</v>
      </c>
      <c r="N27" s="19">
        <v>90</v>
      </c>
      <c r="P27" s="10" t="s">
        <v>5</v>
      </c>
      <c r="Q27" s="10" t="s">
        <v>2</v>
      </c>
      <c r="R27" s="11">
        <v>20.227789595145602</v>
      </c>
    </row>
    <row r="28" spans="1:18" x14ac:dyDescent="0.25">
      <c r="A28" t="s">
        <v>56</v>
      </c>
      <c r="B28">
        <v>1</v>
      </c>
      <c r="C28" s="5">
        <f t="shared" si="2"/>
        <v>1.6543512964952034</v>
      </c>
      <c r="D28" s="5">
        <f t="shared" si="0"/>
        <v>6.5536989934950753</v>
      </c>
      <c r="E28" s="5">
        <f t="shared" si="0"/>
        <v>1.1527971745773984</v>
      </c>
      <c r="F28" s="5">
        <f t="shared" si="0"/>
        <v>2.9569799148400797</v>
      </c>
      <c r="G28" s="6">
        <f t="shared" si="0"/>
        <v>14.077105023215127</v>
      </c>
      <c r="H28" s="8" t="s">
        <v>105</v>
      </c>
      <c r="I28" s="5">
        <f>AVERAGE(I21:I25)</f>
        <v>1</v>
      </c>
      <c r="J28" s="5">
        <f t="shared" ref="J28:N28" si="7">AVERAGE(J21:J25)</f>
        <v>2.4170599570110811</v>
      </c>
      <c r="K28" s="5">
        <f t="shared" si="7"/>
        <v>5.6780208019615603</v>
      </c>
      <c r="L28" s="5">
        <f t="shared" si="7"/>
        <v>2.7028786198039136</v>
      </c>
      <c r="M28" s="5">
        <f t="shared" si="7"/>
        <v>3.9992600406283301</v>
      </c>
      <c r="N28" s="5">
        <f t="shared" si="7"/>
        <v>7.4946817776745505</v>
      </c>
      <c r="P28" s="10" t="s">
        <v>6</v>
      </c>
      <c r="Q28" s="10" t="s">
        <v>2</v>
      </c>
      <c r="R28" s="11">
        <v>15.8251543869328</v>
      </c>
    </row>
    <row r="29" spans="1:18" x14ac:dyDescent="0.25">
      <c r="A29" t="s">
        <v>57</v>
      </c>
      <c r="B29">
        <v>1</v>
      </c>
      <c r="C29" s="5">
        <f t="shared" si="2"/>
        <v>1.7503436386935189</v>
      </c>
      <c r="D29" s="5">
        <f t="shared" si="0"/>
        <v>5.2296065018458915</v>
      </c>
      <c r="E29" s="5">
        <f t="shared" si="0"/>
        <v>1.0160478817946248</v>
      </c>
      <c r="F29" s="5">
        <f t="shared" si="0"/>
        <v>1.2366154625582837</v>
      </c>
      <c r="G29" s="6">
        <f t="shared" si="0"/>
        <v>5.7342661919439539</v>
      </c>
      <c r="H29" s="8"/>
      <c r="N29" s="1"/>
      <c r="P29" s="10" t="s">
        <v>7</v>
      </c>
      <c r="Q29" s="10" t="s">
        <v>2</v>
      </c>
      <c r="R29" s="11">
        <v>16.052286161448301</v>
      </c>
    </row>
    <row r="30" spans="1:18" x14ac:dyDescent="0.25">
      <c r="A30" t="s">
        <v>58</v>
      </c>
      <c r="B30">
        <v>1</v>
      </c>
      <c r="C30" s="5">
        <f t="shared" si="2"/>
        <v>6.344818767405207</v>
      </c>
      <c r="D30" s="5">
        <f t="shared" si="0"/>
        <v>1.6664971346810324</v>
      </c>
      <c r="E30" s="5">
        <f t="shared" si="0"/>
        <v>2.6609244447763643</v>
      </c>
      <c r="F30" s="5">
        <f t="shared" si="0"/>
        <v>2.43585242668986</v>
      </c>
      <c r="G30" s="6">
        <f t="shared" si="0"/>
        <v>11.271115521609941</v>
      </c>
      <c r="H30" s="8"/>
      <c r="N30" s="1"/>
      <c r="P30" s="10" t="s">
        <v>8</v>
      </c>
      <c r="Q30" s="10" t="s">
        <v>2</v>
      </c>
      <c r="R30" s="11">
        <v>18.146707678892099</v>
      </c>
    </row>
    <row r="31" spans="1:18" x14ac:dyDescent="0.25">
      <c r="A31" t="s">
        <v>59</v>
      </c>
      <c r="B31">
        <v>1</v>
      </c>
      <c r="C31" s="5">
        <f t="shared" si="2"/>
        <v>4.861936905704626</v>
      </c>
      <c r="D31" s="5">
        <f t="shared" si="0"/>
        <v>6.041433083421504</v>
      </c>
      <c r="E31" s="5">
        <f t="shared" si="0"/>
        <v>4.8994174533634522</v>
      </c>
      <c r="F31" s="5"/>
      <c r="G31" s="6">
        <f t="shared" si="0"/>
        <v>14.659978964956485</v>
      </c>
      <c r="H31" s="8"/>
      <c r="N31" s="1"/>
      <c r="P31" s="10" t="s">
        <v>9</v>
      </c>
      <c r="Q31" s="10" t="s">
        <v>2</v>
      </c>
      <c r="R31" s="11">
        <v>14.908581891411201</v>
      </c>
    </row>
    <row r="32" spans="1:18" x14ac:dyDescent="0.25">
      <c r="A32" t="s">
        <v>60</v>
      </c>
      <c r="B32">
        <v>1</v>
      </c>
      <c r="C32" s="5">
        <f t="shared" si="2"/>
        <v>3.7919504631052239</v>
      </c>
      <c r="D32" s="5">
        <f t="shared" si="0"/>
        <v>3.1478819237380087</v>
      </c>
      <c r="E32" s="5">
        <f t="shared" si="0"/>
        <v>2.6932348457651485</v>
      </c>
      <c r="F32" s="5">
        <f t="shared" si="0"/>
        <v>0.84143264802065609</v>
      </c>
      <c r="G32" s="6">
        <f t="shared" si="0"/>
        <v>7.5555600301546892</v>
      </c>
      <c r="H32" s="8"/>
      <c r="N32" s="1"/>
      <c r="P32" s="10" t="s">
        <v>10</v>
      </c>
      <c r="Q32" s="10" t="s">
        <v>2</v>
      </c>
      <c r="R32" s="11">
        <v>18.0109027348208</v>
      </c>
    </row>
    <row r="33" spans="1:18" x14ac:dyDescent="0.25">
      <c r="A33" t="s">
        <v>61</v>
      </c>
      <c r="B33">
        <v>1</v>
      </c>
      <c r="C33" s="5">
        <f t="shared" si="2"/>
        <v>3.0719816074536976</v>
      </c>
      <c r="D33" s="5">
        <f t="shared" si="0"/>
        <v>5.8408548684679955</v>
      </c>
      <c r="E33" s="5">
        <f t="shared" si="0"/>
        <v>2.8966980515719252</v>
      </c>
      <c r="F33" s="5">
        <f t="shared" si="0"/>
        <v>5.8857730622616034</v>
      </c>
      <c r="G33" s="6">
        <f t="shared" si="0"/>
        <v>9.3087770788289497</v>
      </c>
      <c r="H33" s="8"/>
      <c r="N33" s="1"/>
      <c r="P33" s="10" t="s">
        <v>11</v>
      </c>
      <c r="Q33" s="10" t="s">
        <v>2</v>
      </c>
      <c r="R33" s="11">
        <v>19.821310781886901</v>
      </c>
    </row>
    <row r="34" spans="1:18" x14ac:dyDescent="0.25">
      <c r="A34" t="s">
        <v>62</v>
      </c>
      <c r="B34">
        <v>1</v>
      </c>
      <c r="C34" s="5">
        <f t="shared" si="2"/>
        <v>1.6581229534534505</v>
      </c>
      <c r="D34" s="5">
        <f t="shared" si="0"/>
        <v>1.576909023503104</v>
      </c>
      <c r="E34" s="5">
        <f t="shared" si="0"/>
        <v>0.7647729170518287</v>
      </c>
      <c r="F34" s="5">
        <f t="shared" si="0"/>
        <v>1.7584268067585951</v>
      </c>
      <c r="G34" s="6">
        <f t="shared" si="0"/>
        <v>2.3762278591205486</v>
      </c>
      <c r="H34" s="8"/>
      <c r="N34" s="1"/>
      <c r="P34" s="10" t="s">
        <v>12</v>
      </c>
      <c r="Q34" s="10" t="s">
        <v>2</v>
      </c>
      <c r="R34" s="11">
        <v>15.6009336007365</v>
      </c>
    </row>
    <row r="35" spans="1:18" x14ac:dyDescent="0.25">
      <c r="A35" t="s">
        <v>63</v>
      </c>
      <c r="B35">
        <v>1</v>
      </c>
      <c r="C35" s="5">
        <f t="shared" si="2"/>
        <v>4.5249413862468169</v>
      </c>
      <c r="D35" s="5">
        <f t="shared" si="0"/>
        <v>7.273336371716125</v>
      </c>
      <c r="E35" s="5">
        <f t="shared" si="0"/>
        <v>1.3394738654040164</v>
      </c>
      <c r="F35" s="5">
        <f t="shared" si="0"/>
        <v>6.5725378059410362</v>
      </c>
      <c r="G35" s="6">
        <f t="shared" si="0"/>
        <v>7.4389747683255525</v>
      </c>
      <c r="H35" s="8"/>
      <c r="N35" s="1"/>
      <c r="P35" s="10" t="s">
        <v>13</v>
      </c>
      <c r="Q35" s="10" t="s">
        <v>2</v>
      </c>
      <c r="R35" s="11">
        <v>16.179824883837501</v>
      </c>
    </row>
    <row r="36" spans="1:18" x14ac:dyDescent="0.25">
      <c r="P36" s="10" t="s">
        <v>14</v>
      </c>
      <c r="Q36" s="10" t="s">
        <v>2</v>
      </c>
      <c r="R36" s="11">
        <v>16.1871462958831</v>
      </c>
    </row>
    <row r="37" spans="1:18" x14ac:dyDescent="0.25">
      <c r="B37">
        <f>_xlfn.STDEV.P(B21:B35)</f>
        <v>0</v>
      </c>
      <c r="C37">
        <f t="shared" ref="C37:G37" si="8">_xlfn.STDEV.P(C21:C35)</f>
        <v>1.6481933484491584</v>
      </c>
      <c r="D37">
        <f t="shared" si="8"/>
        <v>2.9408629486203046</v>
      </c>
      <c r="E37">
        <f t="shared" si="8"/>
        <v>1.578180186184712</v>
      </c>
      <c r="F37">
        <f t="shared" si="8"/>
        <v>1.9894160250737853</v>
      </c>
      <c r="G37">
        <f t="shared" si="8"/>
        <v>4.0447789050295473</v>
      </c>
      <c r="P37" s="10" t="s">
        <v>15</v>
      </c>
      <c r="Q37" s="10" t="s">
        <v>2</v>
      </c>
      <c r="R37" s="11">
        <v>25.6529755955365</v>
      </c>
    </row>
    <row r="38" spans="1:18" x14ac:dyDescent="0.25">
      <c r="P38" s="10" t="s">
        <v>16</v>
      </c>
      <c r="Q38" s="10" t="s">
        <v>2</v>
      </c>
      <c r="R38" s="11">
        <v>27.3387640896152</v>
      </c>
    </row>
    <row r="39" spans="1:18" x14ac:dyDescent="0.25">
      <c r="P39" s="10" t="s">
        <v>17</v>
      </c>
      <c r="Q39" s="10" t="s">
        <v>2</v>
      </c>
      <c r="R39" s="11">
        <v>29.492493885851101</v>
      </c>
    </row>
    <row r="40" spans="1:18" x14ac:dyDescent="0.25">
      <c r="P40" s="10" t="s">
        <v>18</v>
      </c>
      <c r="Q40" s="10" t="s">
        <v>2</v>
      </c>
      <c r="R40" s="11">
        <v>24.1767324187912</v>
      </c>
    </row>
    <row r="41" spans="1:18" x14ac:dyDescent="0.25">
      <c r="P41" s="10" t="s">
        <v>19</v>
      </c>
      <c r="Q41" s="10" t="s">
        <v>2</v>
      </c>
      <c r="R41" s="11">
        <v>24.682061674952699</v>
      </c>
    </row>
    <row r="42" spans="1:18" x14ac:dyDescent="0.25">
      <c r="P42" s="10" t="s">
        <v>20</v>
      </c>
      <c r="Q42" s="10" t="s">
        <v>2</v>
      </c>
      <c r="R42" s="11">
        <v>24.675645739037702</v>
      </c>
    </row>
    <row r="43" spans="1:18" x14ac:dyDescent="0.25">
      <c r="P43" s="10" t="s">
        <v>21</v>
      </c>
      <c r="Q43" s="10" t="s">
        <v>2</v>
      </c>
      <c r="R43" s="11">
        <v>23.3760634121059</v>
      </c>
    </row>
    <row r="44" spans="1:18" x14ac:dyDescent="0.25">
      <c r="P44" s="10" t="s">
        <v>22</v>
      </c>
      <c r="Q44" s="10" t="s">
        <v>2</v>
      </c>
      <c r="R44" s="11">
        <v>24.927425296327801</v>
      </c>
    </row>
    <row r="45" spans="1:18" x14ac:dyDescent="0.25">
      <c r="P45" s="10" t="s">
        <v>23</v>
      </c>
      <c r="Q45" s="10" t="s">
        <v>2</v>
      </c>
      <c r="R45" s="11">
        <v>25.041606548585101</v>
      </c>
    </row>
    <row r="46" spans="1:18" x14ac:dyDescent="0.25">
      <c r="P46" s="10" t="s">
        <v>24</v>
      </c>
      <c r="Q46" s="10" t="s">
        <v>2</v>
      </c>
      <c r="R46" s="11">
        <v>22.2014252161268</v>
      </c>
    </row>
    <row r="47" spans="1:18" x14ac:dyDescent="0.25">
      <c r="P47" s="10" t="s">
        <v>25</v>
      </c>
      <c r="Q47" s="10" t="s">
        <v>2</v>
      </c>
      <c r="R47" s="11">
        <v>22.017145514255699</v>
      </c>
    </row>
    <row r="48" spans="1:18" x14ac:dyDescent="0.25">
      <c r="P48" s="10" t="s">
        <v>26</v>
      </c>
      <c r="Q48" s="10" t="s">
        <v>2</v>
      </c>
      <c r="R48" s="11">
        <v>21.536036431660499</v>
      </c>
    </row>
    <row r="49" spans="16:18" x14ac:dyDescent="0.25">
      <c r="P49" s="10" t="s">
        <v>15</v>
      </c>
      <c r="Q49" s="10" t="s">
        <v>2</v>
      </c>
      <c r="R49" s="11">
        <v>25.2681420834774</v>
      </c>
    </row>
    <row r="50" spans="16:18" x14ac:dyDescent="0.25">
      <c r="P50" s="10" t="s">
        <v>16</v>
      </c>
      <c r="Q50" s="10" t="s">
        <v>2</v>
      </c>
      <c r="R50" s="11">
        <v>27.360068083709098</v>
      </c>
    </row>
    <row r="51" spans="16:18" x14ac:dyDescent="0.25">
      <c r="P51" s="10" t="s">
        <v>17</v>
      </c>
      <c r="Q51" s="10" t="s">
        <v>2</v>
      </c>
      <c r="R51" s="11">
        <v>27.403729517720201</v>
      </c>
    </row>
    <row r="52" spans="16:18" x14ac:dyDescent="0.25">
      <c r="P52" s="10" t="s">
        <v>18</v>
      </c>
      <c r="Q52" s="10" t="s">
        <v>2</v>
      </c>
      <c r="R52" s="11">
        <v>23.6850299439369</v>
      </c>
    </row>
    <row r="53" spans="16:18" x14ac:dyDescent="0.25">
      <c r="P53" s="10" t="s">
        <v>19</v>
      </c>
      <c r="Q53" s="10" t="s">
        <v>2</v>
      </c>
      <c r="R53" s="9"/>
    </row>
    <row r="54" spans="16:18" x14ac:dyDescent="0.25">
      <c r="P54" s="10" t="s">
        <v>20</v>
      </c>
      <c r="Q54" s="10" t="s">
        <v>2</v>
      </c>
      <c r="R54" s="11">
        <v>24.429561529736802</v>
      </c>
    </row>
    <row r="55" spans="16:18" x14ac:dyDescent="0.25">
      <c r="P55" s="10" t="s">
        <v>21</v>
      </c>
      <c r="Q55" s="10" t="s">
        <v>2</v>
      </c>
      <c r="R55" s="11">
        <v>22.7286224877659</v>
      </c>
    </row>
    <row r="56" spans="16:18" x14ac:dyDescent="0.25">
      <c r="P56" s="10" t="s">
        <v>22</v>
      </c>
      <c r="Q56" s="10" t="s">
        <v>2</v>
      </c>
      <c r="R56" s="11">
        <v>24.0339739591716</v>
      </c>
    </row>
    <row r="57" spans="16:18" x14ac:dyDescent="0.25">
      <c r="P57" s="10" t="s">
        <v>23</v>
      </c>
      <c r="Q57" s="10" t="s">
        <v>2</v>
      </c>
      <c r="R57" s="11">
        <v>25.217781213432001</v>
      </c>
    </row>
    <row r="58" spans="16:18" x14ac:dyDescent="0.25">
      <c r="P58" s="10" t="s">
        <v>24</v>
      </c>
      <c r="Q58" s="10" t="s">
        <v>2</v>
      </c>
      <c r="R58" s="11">
        <v>22.136002197073299</v>
      </c>
    </row>
    <row r="59" spans="16:18" x14ac:dyDescent="0.25">
      <c r="P59" s="10" t="s">
        <v>25</v>
      </c>
      <c r="Q59" s="10" t="s">
        <v>2</v>
      </c>
      <c r="R59" s="11">
        <v>21.9714105536166</v>
      </c>
    </row>
    <row r="60" spans="16:18" x14ac:dyDescent="0.25">
      <c r="P60" s="10" t="s">
        <v>26</v>
      </c>
      <c r="Q60" s="10" t="s">
        <v>2</v>
      </c>
      <c r="R60" s="11">
        <v>21.625432935079601</v>
      </c>
    </row>
    <row r="61" spans="16:18" x14ac:dyDescent="0.25">
      <c r="P61" s="10" t="s">
        <v>15</v>
      </c>
      <c r="Q61" s="10" t="s">
        <v>2</v>
      </c>
      <c r="R61" s="11">
        <v>25.078974778237601</v>
      </c>
    </row>
    <row r="62" spans="16:18" x14ac:dyDescent="0.25">
      <c r="P62" s="10" t="s">
        <v>16</v>
      </c>
      <c r="Q62" s="10" t="s">
        <v>2</v>
      </c>
      <c r="R62" s="11">
        <v>27.683939385676201</v>
      </c>
    </row>
    <row r="63" spans="16:18" x14ac:dyDescent="0.25">
      <c r="P63" s="10" t="s">
        <v>17</v>
      </c>
      <c r="Q63" s="10" t="s">
        <v>2</v>
      </c>
      <c r="R63" s="11">
        <v>28.328992797827201</v>
      </c>
    </row>
    <row r="64" spans="16:18" x14ac:dyDescent="0.25">
      <c r="P64" s="10" t="s">
        <v>18</v>
      </c>
      <c r="Q64" s="10" t="s">
        <v>2</v>
      </c>
      <c r="R64" s="11">
        <v>24.151398980323599</v>
      </c>
    </row>
    <row r="65" spans="16:18" x14ac:dyDescent="0.25">
      <c r="P65" s="10" t="s">
        <v>19</v>
      </c>
      <c r="Q65" s="10" t="s">
        <v>2</v>
      </c>
      <c r="R65" s="11">
        <v>26.056951089243899</v>
      </c>
    </row>
    <row r="66" spans="16:18" x14ac:dyDescent="0.25">
      <c r="P66" s="10" t="s">
        <v>20</v>
      </c>
      <c r="Q66" s="10" t="s">
        <v>2</v>
      </c>
      <c r="R66" s="11">
        <v>24.984753614094799</v>
      </c>
    </row>
    <row r="67" spans="16:18" x14ac:dyDescent="0.25">
      <c r="P67" s="10" t="s">
        <v>21</v>
      </c>
      <c r="Q67" s="10" t="s">
        <v>2</v>
      </c>
      <c r="R67" s="11">
        <v>23.3560695059426</v>
      </c>
    </row>
    <row r="68" spans="16:18" x14ac:dyDescent="0.25">
      <c r="P68" s="10" t="s">
        <v>22</v>
      </c>
      <c r="Q68" s="10" t="s">
        <v>2</v>
      </c>
      <c r="R68" s="11">
        <v>24.280491244961599</v>
      </c>
    </row>
    <row r="69" spans="16:18" x14ac:dyDescent="0.25">
      <c r="P69" s="10" t="s">
        <v>23</v>
      </c>
      <c r="Q69" s="10" t="s">
        <v>2</v>
      </c>
      <c r="R69" s="11">
        <v>25.406181097915201</v>
      </c>
    </row>
    <row r="70" spans="16:18" x14ac:dyDescent="0.25">
      <c r="P70" s="10" t="s">
        <v>24</v>
      </c>
      <c r="Q70" s="10" t="s">
        <v>2</v>
      </c>
      <c r="R70" s="11">
        <v>23.626754782366699</v>
      </c>
    </row>
    <row r="71" spans="16:18" x14ac:dyDescent="0.25">
      <c r="P71" s="10" t="s">
        <v>25</v>
      </c>
      <c r="Q71" s="10" t="s">
        <v>2</v>
      </c>
      <c r="R71" s="11">
        <v>21.910861962965399</v>
      </c>
    </row>
    <row r="72" spans="16:18" x14ac:dyDescent="0.25">
      <c r="P72" s="10" t="s">
        <v>26</v>
      </c>
      <c r="Q72" s="10" t="s">
        <v>2</v>
      </c>
      <c r="R72" s="11">
        <v>21.7395301060935</v>
      </c>
    </row>
    <row r="73" spans="16:18" x14ac:dyDescent="0.25">
      <c r="P73" s="10" t="s">
        <v>30</v>
      </c>
      <c r="Q73" s="10" t="s">
        <v>2</v>
      </c>
      <c r="R73" s="9"/>
    </row>
    <row r="74" spans="16:18" x14ac:dyDescent="0.25">
      <c r="P74" s="10" t="s">
        <v>27</v>
      </c>
      <c r="Q74" s="10" t="s">
        <v>2</v>
      </c>
      <c r="R74" s="11">
        <v>16.2249662986254</v>
      </c>
    </row>
    <row r="75" spans="16:18" x14ac:dyDescent="0.25">
      <c r="P75" s="10" t="s">
        <v>28</v>
      </c>
      <c r="Q75" s="10" t="s">
        <v>2</v>
      </c>
      <c r="R75" s="11">
        <v>15.569496061186699</v>
      </c>
    </row>
    <row r="76" spans="16:18" x14ac:dyDescent="0.25">
      <c r="P76" s="10" t="s">
        <v>29</v>
      </c>
      <c r="Q76" s="10" t="s">
        <v>2</v>
      </c>
      <c r="R76" s="11">
        <v>16.243850832780598</v>
      </c>
    </row>
    <row r="77" spans="16:18" x14ac:dyDescent="0.25">
      <c r="P77" s="10" t="s">
        <v>27</v>
      </c>
      <c r="Q77" s="10" t="s">
        <v>2</v>
      </c>
      <c r="R77" s="11">
        <v>15.7300590885147</v>
      </c>
    </row>
    <row r="78" spans="16:18" x14ac:dyDescent="0.25">
      <c r="P78" s="10" t="s">
        <v>28</v>
      </c>
      <c r="Q78" s="10" t="s">
        <v>2</v>
      </c>
      <c r="R78" s="11">
        <v>16.376630456714</v>
      </c>
    </row>
    <row r="79" spans="16:18" x14ac:dyDescent="0.25">
      <c r="P79" s="10" t="s">
        <v>29</v>
      </c>
      <c r="Q79" s="10" t="s">
        <v>2</v>
      </c>
      <c r="R79" s="11">
        <v>16.307566506139999</v>
      </c>
    </row>
    <row r="80" spans="16:18" x14ac:dyDescent="0.25">
      <c r="P80" s="10" t="s">
        <v>27</v>
      </c>
      <c r="Q80" s="10" t="s">
        <v>2</v>
      </c>
      <c r="R80" s="11">
        <v>15.650138638686499</v>
      </c>
    </row>
    <row r="81" spans="16:18" x14ac:dyDescent="0.25">
      <c r="P81" s="10" t="s">
        <v>28</v>
      </c>
      <c r="Q81" s="10" t="s">
        <v>2</v>
      </c>
      <c r="R81" s="11">
        <v>15.510168285749</v>
      </c>
    </row>
    <row r="82" spans="16:18" x14ac:dyDescent="0.25">
      <c r="P82" s="10" t="s">
        <v>29</v>
      </c>
      <c r="Q82" s="10" t="s">
        <v>2</v>
      </c>
      <c r="R82" s="11">
        <v>16.154250827759402</v>
      </c>
    </row>
    <row r="83" spans="16:18" x14ac:dyDescent="0.25">
      <c r="P83" s="10" t="s">
        <v>64</v>
      </c>
      <c r="Q83" s="10" t="s">
        <v>2</v>
      </c>
      <c r="R83" s="11">
        <v>22.571263543003599</v>
      </c>
    </row>
    <row r="84" spans="16:18" x14ac:dyDescent="0.25">
      <c r="P84" s="10" t="s">
        <v>30</v>
      </c>
      <c r="Q84" s="10" t="s">
        <v>2</v>
      </c>
      <c r="R84" s="9"/>
    </row>
    <row r="85" spans="16:18" x14ac:dyDescent="0.25">
      <c r="P85" s="10" t="s">
        <v>30</v>
      </c>
      <c r="Q85" s="10" t="s">
        <v>2</v>
      </c>
      <c r="R85" s="9"/>
    </row>
    <row r="86" spans="16:18" x14ac:dyDescent="0.25">
      <c r="P86" s="10" t="s">
        <v>31</v>
      </c>
      <c r="Q86" s="10" t="s">
        <v>2</v>
      </c>
      <c r="R86" s="11">
        <v>24.394419129791899</v>
      </c>
    </row>
    <row r="87" spans="16:18" x14ac:dyDescent="0.25">
      <c r="P87" s="10" t="s">
        <v>32</v>
      </c>
      <c r="Q87" s="10" t="s">
        <v>2</v>
      </c>
      <c r="R87" s="11">
        <v>24.458935963979702</v>
      </c>
    </row>
    <row r="88" spans="16:18" x14ac:dyDescent="0.25">
      <c r="P88" s="10" t="s">
        <v>33</v>
      </c>
      <c r="Q88" s="10" t="s">
        <v>2</v>
      </c>
      <c r="R88" s="11">
        <v>22.916128874463499</v>
      </c>
    </row>
    <row r="89" spans="16:18" x14ac:dyDescent="0.25">
      <c r="P89" s="10" t="s">
        <v>31</v>
      </c>
      <c r="Q89" s="10" t="s">
        <v>2</v>
      </c>
      <c r="R89" s="11">
        <v>24.9554826608802</v>
      </c>
    </row>
    <row r="90" spans="16:18" x14ac:dyDescent="0.25">
      <c r="P90" s="10" t="s">
        <v>32</v>
      </c>
      <c r="Q90" s="10" t="s">
        <v>2</v>
      </c>
      <c r="R90" s="11">
        <v>24.243068289720799</v>
      </c>
    </row>
    <row r="91" spans="16:18" x14ac:dyDescent="0.25">
      <c r="P91" s="10" t="s">
        <v>33</v>
      </c>
      <c r="Q91" s="10" t="s">
        <v>2</v>
      </c>
      <c r="R91" s="11">
        <v>22.718188283714401</v>
      </c>
    </row>
    <row r="92" spans="16:18" x14ac:dyDescent="0.25">
      <c r="P92" s="10" t="s">
        <v>31</v>
      </c>
      <c r="Q92" s="10" t="s">
        <v>2</v>
      </c>
      <c r="R92" s="11">
        <v>24.670572546587302</v>
      </c>
    </row>
    <row r="93" spans="16:18" x14ac:dyDescent="0.25">
      <c r="P93" s="10" t="s">
        <v>32</v>
      </c>
      <c r="Q93" s="10" t="s">
        <v>2</v>
      </c>
      <c r="R93" s="11">
        <v>24.247173634942399</v>
      </c>
    </row>
    <row r="94" spans="16:18" x14ac:dyDescent="0.25">
      <c r="P94" s="10" t="s">
        <v>33</v>
      </c>
      <c r="Q94" s="10" t="s">
        <v>2</v>
      </c>
      <c r="R94" s="11">
        <v>22.678044249265099</v>
      </c>
    </row>
    <row r="95" spans="16:18" x14ac:dyDescent="0.25">
      <c r="P95" s="10" t="s">
        <v>64</v>
      </c>
      <c r="Q95" s="10" t="s">
        <v>2</v>
      </c>
      <c r="R95" s="11">
        <v>21.021443496867398</v>
      </c>
    </row>
    <row r="96" spans="16:18" x14ac:dyDescent="0.25">
      <c r="P96" s="10" t="s">
        <v>30</v>
      </c>
      <c r="Q96" s="10" t="s">
        <v>2</v>
      </c>
      <c r="R96" s="9"/>
    </row>
  </sheetData>
  <mergeCells count="5">
    <mergeCell ref="A1:G1"/>
    <mergeCell ref="H1:N1"/>
    <mergeCell ref="A19:G19"/>
    <mergeCell ref="H19:N19"/>
    <mergeCell ref="H26:N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5DDF-58DF-4AAC-A752-A48839AF299A}">
  <dimension ref="A1:Z96"/>
  <sheetViews>
    <sheetView zoomScale="71" zoomScaleNormal="71" workbookViewId="0">
      <selection activeCell="I21" sqref="I21:N25"/>
    </sheetView>
  </sheetViews>
  <sheetFormatPr defaultColWidth="8.85546875" defaultRowHeight="15" x14ac:dyDescent="0.25"/>
  <cols>
    <col min="1" max="1" width="9.5703125" customWidth="1"/>
    <col min="8" max="8" width="9.5703125" customWidth="1"/>
  </cols>
  <sheetData>
    <row r="1" spans="1:26" x14ac:dyDescent="0.25">
      <c r="A1" s="50" t="s">
        <v>0</v>
      </c>
      <c r="B1" s="50"/>
      <c r="C1" s="50"/>
      <c r="D1" s="50"/>
      <c r="E1" s="50"/>
      <c r="F1" s="50"/>
      <c r="G1" s="51"/>
      <c r="H1" s="49" t="s">
        <v>1</v>
      </c>
      <c r="I1" s="50"/>
      <c r="J1" s="50"/>
      <c r="K1" s="50"/>
      <c r="L1" s="50"/>
      <c r="M1" s="50"/>
      <c r="N1" s="51"/>
      <c r="P1" s="13" t="s">
        <v>65</v>
      </c>
      <c r="Q1" s="13" t="s">
        <v>2</v>
      </c>
      <c r="R1" s="14">
        <v>21.660563087747999</v>
      </c>
      <c r="T1" s="13" t="s">
        <v>38</v>
      </c>
      <c r="U1" s="13" t="s">
        <v>2</v>
      </c>
      <c r="V1" s="14">
        <v>21.145626695224198</v>
      </c>
      <c r="X1" s="13" t="s">
        <v>91</v>
      </c>
      <c r="Y1" s="13" t="s">
        <v>2</v>
      </c>
      <c r="Z1" s="14">
        <v>16.458600082297799</v>
      </c>
    </row>
    <row r="2" spans="1:26" x14ac:dyDescent="0.25">
      <c r="A2" t="s">
        <v>110</v>
      </c>
      <c r="B2">
        <v>0</v>
      </c>
      <c r="C2">
        <v>10</v>
      </c>
      <c r="D2">
        <v>20</v>
      </c>
      <c r="E2" s="18">
        <v>30</v>
      </c>
      <c r="F2">
        <v>60</v>
      </c>
      <c r="G2" s="1">
        <v>90</v>
      </c>
      <c r="H2" t="s">
        <v>110</v>
      </c>
      <c r="I2">
        <v>0</v>
      </c>
      <c r="J2">
        <v>10</v>
      </c>
      <c r="K2">
        <v>20</v>
      </c>
      <c r="L2" s="18">
        <v>30</v>
      </c>
      <c r="M2">
        <v>60</v>
      </c>
      <c r="N2" s="1">
        <v>90</v>
      </c>
      <c r="P2" s="13" t="s">
        <v>37</v>
      </c>
      <c r="Q2" s="13" t="s">
        <v>2</v>
      </c>
      <c r="R2" s="14">
        <v>21.280738317681202</v>
      </c>
      <c r="T2" s="13" t="s">
        <v>44</v>
      </c>
      <c r="U2" s="13" t="s">
        <v>2</v>
      </c>
      <c r="V2" s="14">
        <v>20.6210765586146</v>
      </c>
      <c r="X2" s="13" t="s">
        <v>46</v>
      </c>
      <c r="Y2" s="13" t="s">
        <v>2</v>
      </c>
      <c r="Z2" s="14">
        <v>16.9573908601356</v>
      </c>
    </row>
    <row r="3" spans="1:26" x14ac:dyDescent="0.25">
      <c r="A3" t="s">
        <v>49</v>
      </c>
      <c r="B3" s="14">
        <v>21.660563087747999</v>
      </c>
      <c r="C3" s="14">
        <v>22.593960838124399</v>
      </c>
      <c r="D3" s="14">
        <v>21.054514385658599</v>
      </c>
      <c r="E3" s="14">
        <v>22.140654432784899</v>
      </c>
      <c r="F3" s="14">
        <v>20.880829637897701</v>
      </c>
      <c r="G3" s="14">
        <v>20.909987521363899</v>
      </c>
      <c r="H3" s="8" t="s">
        <v>49</v>
      </c>
      <c r="I3" s="14">
        <v>15.0318771225439</v>
      </c>
      <c r="J3" s="14">
        <v>17.191978738974601</v>
      </c>
      <c r="K3" s="14">
        <v>15.4420779892883</v>
      </c>
      <c r="L3" s="14">
        <v>15.2580663353628</v>
      </c>
      <c r="M3" s="14">
        <v>15.3323526138386</v>
      </c>
      <c r="N3" s="14">
        <v>17.392599688527699</v>
      </c>
      <c r="P3" s="13" t="s">
        <v>41</v>
      </c>
      <c r="Q3" s="13" t="s">
        <v>2</v>
      </c>
      <c r="R3" s="14">
        <v>21.4485665545598</v>
      </c>
      <c r="T3" s="13" t="s">
        <v>36</v>
      </c>
      <c r="U3" s="13" t="s">
        <v>2</v>
      </c>
      <c r="V3" s="14">
        <v>22.140654432784899</v>
      </c>
      <c r="X3" s="13" t="s">
        <v>47</v>
      </c>
      <c r="Y3" s="13" t="s">
        <v>2</v>
      </c>
      <c r="Z3" s="14">
        <v>15.754713201053599</v>
      </c>
    </row>
    <row r="4" spans="1:26" x14ac:dyDescent="0.25">
      <c r="A4" t="s">
        <v>50</v>
      </c>
      <c r="B4" s="14">
        <v>21.781925541115701</v>
      </c>
      <c r="C4" s="14">
        <v>22.241834084338102</v>
      </c>
      <c r="D4" s="14">
        <v>21.226565407668801</v>
      </c>
      <c r="E4" s="14">
        <v>21.1021439645402</v>
      </c>
      <c r="F4" s="14">
        <v>20.600550923341899</v>
      </c>
      <c r="G4" s="14">
        <v>20.583410565946199</v>
      </c>
      <c r="H4" s="8" t="s">
        <v>50</v>
      </c>
      <c r="I4" s="14">
        <v>15.152658736996299</v>
      </c>
      <c r="J4" s="14">
        <v>17.1829318464012</v>
      </c>
      <c r="K4" s="14">
        <v>15.542649341970501</v>
      </c>
      <c r="L4" s="14">
        <v>15.757307627255701</v>
      </c>
      <c r="M4" s="14">
        <v>15.553829690043299</v>
      </c>
      <c r="N4" s="14">
        <v>17.4080358225285</v>
      </c>
      <c r="P4" s="13" t="s">
        <v>45</v>
      </c>
      <c r="Q4" s="13" t="s">
        <v>2</v>
      </c>
      <c r="R4" s="14">
        <v>19.960421374817599</v>
      </c>
      <c r="T4" s="13" t="s">
        <v>39</v>
      </c>
      <c r="U4" s="13" t="s">
        <v>2</v>
      </c>
      <c r="V4" s="14">
        <v>21.268756305569099</v>
      </c>
      <c r="X4" s="13" t="s">
        <v>48</v>
      </c>
      <c r="Y4" s="13" t="s">
        <v>2</v>
      </c>
      <c r="Z4" s="14">
        <v>16.3271574844246</v>
      </c>
    </row>
    <row r="5" spans="1:26" x14ac:dyDescent="0.25">
      <c r="A5" t="s">
        <v>51</v>
      </c>
      <c r="B5" s="14">
        <v>21.562359319200901</v>
      </c>
      <c r="C5" s="14">
        <v>22.441261907627801</v>
      </c>
      <c r="D5" s="14">
        <v>21.710341585226502</v>
      </c>
      <c r="E5" s="14">
        <v>21.282440663864499</v>
      </c>
      <c r="F5" s="14">
        <v>20.810189645733701</v>
      </c>
      <c r="G5" s="14">
        <v>20.814906597160501</v>
      </c>
      <c r="H5" s="8" t="s">
        <v>51</v>
      </c>
      <c r="I5" s="14">
        <v>15.154343606029901</v>
      </c>
      <c r="J5" s="14">
        <v>17.126354832773199</v>
      </c>
      <c r="K5" s="16">
        <v>15.7189693187985</v>
      </c>
      <c r="L5" s="14">
        <v>15.6557009952471</v>
      </c>
      <c r="M5" s="14">
        <v>15.314389236312801</v>
      </c>
      <c r="N5" s="14">
        <v>17.403964336091398</v>
      </c>
      <c r="P5" s="13" t="s">
        <v>66</v>
      </c>
      <c r="Q5" s="13" t="s">
        <v>2</v>
      </c>
      <c r="R5" s="14">
        <v>20.909987521363899</v>
      </c>
      <c r="T5" s="13" t="s">
        <v>42</v>
      </c>
      <c r="U5" s="13" t="s">
        <v>2</v>
      </c>
      <c r="V5" s="14">
        <v>21.685984068015198</v>
      </c>
      <c r="X5" s="13" t="s">
        <v>92</v>
      </c>
      <c r="Y5" s="13" t="s">
        <v>2</v>
      </c>
      <c r="Z5" s="14">
        <v>17.068509503167999</v>
      </c>
    </row>
    <row r="6" spans="1:26" x14ac:dyDescent="0.25">
      <c r="A6" t="s">
        <v>52</v>
      </c>
      <c r="B6" s="14">
        <v>21.8071760993423</v>
      </c>
      <c r="C6" s="14">
        <v>21.280738317681202</v>
      </c>
      <c r="D6" s="14">
        <v>21.145626695224198</v>
      </c>
      <c r="E6" s="14">
        <v>21.268756305569099</v>
      </c>
      <c r="F6" s="14">
        <v>20.554017776448401</v>
      </c>
      <c r="G6" s="14">
        <v>20.797674550627601</v>
      </c>
      <c r="H6" s="8" t="s">
        <v>52</v>
      </c>
      <c r="I6" s="14">
        <v>15.7634963352565</v>
      </c>
      <c r="J6" s="14">
        <v>16.0371640517786</v>
      </c>
      <c r="K6" s="14">
        <v>16.319454856898499</v>
      </c>
      <c r="L6" s="14">
        <v>16.031592975279601</v>
      </c>
      <c r="M6" s="14">
        <v>14.9948634077506</v>
      </c>
      <c r="N6" s="14">
        <v>17.663989379345502</v>
      </c>
      <c r="P6" s="13" t="s">
        <v>67</v>
      </c>
      <c r="Q6" s="13" t="s">
        <v>2</v>
      </c>
      <c r="R6" s="14">
        <v>21.8071760993423</v>
      </c>
      <c r="T6" s="13" t="s">
        <v>78</v>
      </c>
      <c r="U6" s="13" t="s">
        <v>2</v>
      </c>
      <c r="V6" s="14">
        <v>20.880829637897701</v>
      </c>
      <c r="X6" s="13" t="s">
        <v>93</v>
      </c>
      <c r="Y6" s="13" t="s">
        <v>2</v>
      </c>
      <c r="Z6" s="14">
        <v>17.668195225709798</v>
      </c>
    </row>
    <row r="7" spans="1:26" x14ac:dyDescent="0.25">
      <c r="A7" t="s">
        <v>53</v>
      </c>
      <c r="B7" s="14">
        <v>21.609364395870699</v>
      </c>
      <c r="C7" s="14">
        <v>21.1447254309237</v>
      </c>
      <c r="D7" s="14">
        <v>21.1131691452903</v>
      </c>
      <c r="E7" s="14">
        <v>21.175376301795598</v>
      </c>
      <c r="F7" s="14">
        <v>20.053869593549798</v>
      </c>
      <c r="G7" s="14">
        <v>20.669874511963499</v>
      </c>
      <c r="H7" s="8" t="s">
        <v>53</v>
      </c>
      <c r="I7" s="14">
        <v>15.9620702045233</v>
      </c>
      <c r="J7" s="14">
        <v>16.097771188174299</v>
      </c>
      <c r="K7" s="14">
        <v>16.465190457789799</v>
      </c>
      <c r="L7" s="14">
        <v>16.087828173665599</v>
      </c>
      <c r="M7" s="14">
        <v>15.086852122708599</v>
      </c>
      <c r="N7" s="14">
        <v>17.470837667713099</v>
      </c>
      <c r="P7" s="13" t="s">
        <v>68</v>
      </c>
      <c r="Q7" s="13" t="s">
        <v>2</v>
      </c>
      <c r="R7" s="14">
        <v>22.079043111952299</v>
      </c>
      <c r="T7" s="13" t="s">
        <v>79</v>
      </c>
      <c r="U7" s="13" t="s">
        <v>2</v>
      </c>
      <c r="V7" s="14">
        <v>20.554017776448401</v>
      </c>
      <c r="X7" s="13" t="s">
        <v>65</v>
      </c>
      <c r="Y7" s="13" t="s">
        <v>2</v>
      </c>
      <c r="Z7" s="14">
        <v>16.7008626537413</v>
      </c>
    </row>
    <row r="8" spans="1:26" x14ac:dyDescent="0.25">
      <c r="A8" t="s">
        <v>54</v>
      </c>
      <c r="B8" s="14">
        <v>21.749956032620901</v>
      </c>
      <c r="C8" s="14">
        <v>21.2563699475816</v>
      </c>
      <c r="D8" s="14">
        <v>21.765611474939799</v>
      </c>
      <c r="E8" s="14">
        <v>21.241429470414101</v>
      </c>
      <c r="F8" s="14">
        <v>20.258712120767001</v>
      </c>
      <c r="G8" s="14">
        <v>20.775972588398702</v>
      </c>
      <c r="H8" s="8" t="s">
        <v>54</v>
      </c>
      <c r="I8" s="14">
        <v>15.8444000096511</v>
      </c>
      <c r="J8" s="14">
        <v>16.035546882500899</v>
      </c>
      <c r="K8" s="14">
        <v>16.354138132539099</v>
      </c>
      <c r="L8" s="14">
        <v>15.8721671901777</v>
      </c>
      <c r="M8" s="14">
        <v>15.2349693876629</v>
      </c>
      <c r="N8" s="14">
        <v>17.250000236646301</v>
      </c>
      <c r="P8" s="13" t="s">
        <v>69</v>
      </c>
      <c r="Q8" s="13" t="s">
        <v>2</v>
      </c>
      <c r="R8" s="14">
        <v>20.529925278652499</v>
      </c>
      <c r="T8" s="13" t="s">
        <v>80</v>
      </c>
      <c r="U8" s="13" t="s">
        <v>2</v>
      </c>
      <c r="V8" s="14">
        <v>21.058518744100802</v>
      </c>
      <c r="X8" s="13" t="s">
        <v>34</v>
      </c>
      <c r="Y8" s="13" t="s">
        <v>2</v>
      </c>
      <c r="Z8" s="14">
        <v>15.782769849929</v>
      </c>
    </row>
    <row r="9" spans="1:26" x14ac:dyDescent="0.25">
      <c r="A9" t="s">
        <v>55</v>
      </c>
      <c r="B9" s="14">
        <v>22.079043111952299</v>
      </c>
      <c r="C9" s="14">
        <v>21.711955912075101</v>
      </c>
      <c r="D9" s="14">
        <v>21.4485665545598</v>
      </c>
      <c r="E9" s="14">
        <v>21.685984068015198</v>
      </c>
      <c r="F9" s="14">
        <v>21.058518744100802</v>
      </c>
      <c r="G9" s="14">
        <v>20.701513177656501</v>
      </c>
      <c r="H9" s="8" t="s">
        <v>55</v>
      </c>
      <c r="I9" s="14">
        <v>15.6824297456495</v>
      </c>
      <c r="J9" s="14">
        <v>15.1406026412423</v>
      </c>
      <c r="K9" s="14">
        <v>15.188471780686999</v>
      </c>
      <c r="L9" s="14">
        <v>16.104997107348701</v>
      </c>
      <c r="M9" s="14">
        <v>15.4292322754798</v>
      </c>
      <c r="N9" s="14">
        <v>15.7710503269863</v>
      </c>
      <c r="P9" s="13" t="s">
        <v>34</v>
      </c>
      <c r="Q9" s="13" t="s">
        <v>2</v>
      </c>
      <c r="R9" s="14">
        <v>22.593960838124399</v>
      </c>
      <c r="T9" s="13" t="s">
        <v>81</v>
      </c>
      <c r="U9" s="13" t="s">
        <v>2</v>
      </c>
      <c r="V9" s="14">
        <v>21.278581599278901</v>
      </c>
      <c r="X9" s="13" t="s">
        <v>35</v>
      </c>
      <c r="Y9" s="13" t="s">
        <v>2</v>
      </c>
      <c r="Z9" s="14">
        <v>16.134249734350998</v>
      </c>
    </row>
    <row r="10" spans="1:26" x14ac:dyDescent="0.25">
      <c r="A10" t="s">
        <v>56</v>
      </c>
      <c r="B10" s="14">
        <v>21.934764433322901</v>
      </c>
      <c r="C10" s="14">
        <v>21.521534255746001</v>
      </c>
      <c r="D10" s="14">
        <v>21.236590662831102</v>
      </c>
      <c r="E10" s="14">
        <v>21.329815237439199</v>
      </c>
      <c r="F10" s="14">
        <v>21.0750053354881</v>
      </c>
      <c r="G10" s="14">
        <v>20.598316190902</v>
      </c>
      <c r="H10" s="8" t="s">
        <v>56</v>
      </c>
      <c r="I10" s="14">
        <v>15.9361494072754</v>
      </c>
      <c r="J10" s="14">
        <v>15.343566411223399</v>
      </c>
      <c r="K10" s="14">
        <v>16.027703966389598</v>
      </c>
      <c r="L10" s="14">
        <v>16.209413426147002</v>
      </c>
      <c r="M10" s="14">
        <v>15.9122655651068</v>
      </c>
      <c r="N10" s="14">
        <v>15.84836333046</v>
      </c>
      <c r="P10" s="13" t="s">
        <v>40</v>
      </c>
      <c r="Q10" s="13" t="s">
        <v>2</v>
      </c>
      <c r="R10" s="14">
        <v>21.711955912075101</v>
      </c>
      <c r="T10" s="13" t="s">
        <v>82</v>
      </c>
      <c r="U10" s="13" t="s">
        <v>2</v>
      </c>
      <c r="V10" s="14">
        <v>20.797674550627601</v>
      </c>
      <c r="X10" s="13" t="s">
        <v>36</v>
      </c>
      <c r="Y10" s="13" t="s">
        <v>2</v>
      </c>
      <c r="Z10" s="14">
        <v>16.3764745687028</v>
      </c>
    </row>
    <row r="11" spans="1:26" x14ac:dyDescent="0.25">
      <c r="A11" t="s">
        <v>57</v>
      </c>
      <c r="B11" s="14">
        <v>22.158127996447899</v>
      </c>
      <c r="C11" s="14">
        <v>21.632834526907502</v>
      </c>
      <c r="D11" s="14">
        <v>21.273450299149498</v>
      </c>
      <c r="E11" s="14">
        <v>21.5029456857688</v>
      </c>
      <c r="F11" s="14">
        <v>20.8305997206044</v>
      </c>
      <c r="G11" s="14">
        <v>20.638789146999901</v>
      </c>
      <c r="H11" s="8" t="s">
        <v>57</v>
      </c>
      <c r="I11" s="14">
        <v>15.9013061621184</v>
      </c>
      <c r="J11" s="14">
        <v>15.125258340696799</v>
      </c>
      <c r="K11" s="14">
        <v>15.9066836147486</v>
      </c>
      <c r="L11" s="14">
        <v>16.078267347913101</v>
      </c>
      <c r="M11" s="14">
        <v>16.100903559663301</v>
      </c>
      <c r="N11" s="14">
        <v>15.6713201431521</v>
      </c>
      <c r="P11" s="13" t="s">
        <v>43</v>
      </c>
      <c r="Q11" s="13" t="s">
        <v>2</v>
      </c>
      <c r="R11" s="14">
        <v>20.213949383533699</v>
      </c>
      <c r="T11" s="13" t="s">
        <v>83</v>
      </c>
      <c r="U11" s="13" t="s">
        <v>2</v>
      </c>
      <c r="V11" s="14">
        <v>20.701513177656501</v>
      </c>
      <c r="X11" s="13" t="s">
        <v>78</v>
      </c>
      <c r="Y11" s="13" t="s">
        <v>2</v>
      </c>
      <c r="Z11" s="14">
        <v>16.369296504012301</v>
      </c>
    </row>
    <row r="12" spans="1:26" x14ac:dyDescent="0.25">
      <c r="A12" t="s">
        <v>58</v>
      </c>
      <c r="B12" s="14">
        <v>20.529925278652499</v>
      </c>
      <c r="C12" s="14">
        <v>20.213949383533699</v>
      </c>
      <c r="D12" s="14">
        <v>20.6210765586146</v>
      </c>
      <c r="E12" s="14">
        <v>19.960421374817599</v>
      </c>
      <c r="F12" s="14">
        <v>21.278581599278901</v>
      </c>
      <c r="G12" s="14">
        <v>21.955499662355901</v>
      </c>
      <c r="H12" s="8" t="s">
        <v>58</v>
      </c>
      <c r="I12" s="14">
        <v>15.6359938159141</v>
      </c>
      <c r="J12" s="14">
        <v>14.8294617287942</v>
      </c>
      <c r="K12" s="14">
        <v>15.6784862999792</v>
      </c>
      <c r="L12" s="14">
        <v>16.204466089210602</v>
      </c>
      <c r="M12" s="14">
        <v>18.054907463458701</v>
      </c>
      <c r="N12" s="14">
        <v>18.5641730067899</v>
      </c>
      <c r="P12" s="13" t="s">
        <v>35</v>
      </c>
      <c r="Q12" s="13" t="s">
        <v>2</v>
      </c>
      <c r="R12" s="14">
        <v>21.054514385658599</v>
      </c>
      <c r="T12" s="13" t="s">
        <v>84</v>
      </c>
      <c r="U12" s="13" t="s">
        <v>2</v>
      </c>
      <c r="V12" s="14">
        <v>21.955499662355901</v>
      </c>
      <c r="X12" s="13" t="s">
        <v>66</v>
      </c>
      <c r="Y12" s="13" t="s">
        <v>2</v>
      </c>
      <c r="Z12" s="14">
        <v>16.285341871695</v>
      </c>
    </row>
    <row r="13" spans="1:26" x14ac:dyDescent="0.25">
      <c r="A13" t="s">
        <v>59</v>
      </c>
      <c r="B13" s="14">
        <v>20.5411682477081</v>
      </c>
      <c r="C13" s="14">
        <v>20.132840478857801</v>
      </c>
      <c r="D13" s="14">
        <v>20.415613659222402</v>
      </c>
      <c r="E13" s="14">
        <v>20.159534538755501</v>
      </c>
      <c r="F13" s="14">
        <v>22.112240680371499</v>
      </c>
      <c r="G13" s="14">
        <v>21.9752290907646</v>
      </c>
      <c r="H13" s="8" t="s">
        <v>59</v>
      </c>
      <c r="I13" s="14">
        <v>15.719391465811</v>
      </c>
      <c r="J13" s="14">
        <v>14.9808536455782</v>
      </c>
      <c r="K13" s="14">
        <v>15.703087351235199</v>
      </c>
      <c r="L13" s="14">
        <v>16.2278626682081</v>
      </c>
      <c r="M13" s="14">
        <v>18.018704000565801</v>
      </c>
      <c r="N13" s="14">
        <v>18.668385386563301</v>
      </c>
      <c r="P13" s="13" t="s">
        <v>65</v>
      </c>
      <c r="Q13" s="13" t="s">
        <v>2</v>
      </c>
      <c r="R13" s="14">
        <v>21.781925541115701</v>
      </c>
      <c r="T13" s="13" t="s">
        <v>38</v>
      </c>
      <c r="U13" s="13" t="s">
        <v>2</v>
      </c>
      <c r="V13" s="14">
        <v>21.1131691452903</v>
      </c>
      <c r="X13" s="13" t="s">
        <v>91</v>
      </c>
      <c r="Y13" s="13" t="s">
        <v>2</v>
      </c>
      <c r="Z13" s="14">
        <v>16.4382077369103</v>
      </c>
    </row>
    <row r="14" spans="1:26" x14ac:dyDescent="0.25">
      <c r="A14" t="s">
        <v>60</v>
      </c>
      <c r="B14" s="14">
        <v>20.5289257325976</v>
      </c>
      <c r="C14" s="14">
        <v>20.091181951378001</v>
      </c>
      <c r="D14" s="14">
        <v>20.642522526473702</v>
      </c>
      <c r="E14" s="14">
        <v>19.818670578375901</v>
      </c>
      <c r="F14" s="14">
        <v>21.119315412182701</v>
      </c>
      <c r="G14" s="14">
        <v>22.077400709269899</v>
      </c>
      <c r="H14" s="8" t="s">
        <v>60</v>
      </c>
      <c r="I14" s="14">
        <v>15.7265371943761</v>
      </c>
      <c r="J14" s="14">
        <v>15.143040044306201</v>
      </c>
      <c r="K14" s="14">
        <v>15.658196703305901</v>
      </c>
      <c r="L14" s="14">
        <v>16.269026401845299</v>
      </c>
      <c r="M14" s="14">
        <v>17.8564760462842</v>
      </c>
      <c r="N14" s="14">
        <v>18.5191532480032</v>
      </c>
      <c r="P14" s="13" t="s">
        <v>37</v>
      </c>
      <c r="Q14" s="13" t="s">
        <v>2</v>
      </c>
      <c r="R14" s="14">
        <v>21.1447254309237</v>
      </c>
      <c r="T14" s="13" t="s">
        <v>44</v>
      </c>
      <c r="U14" s="13" t="s">
        <v>2</v>
      </c>
      <c r="V14" s="14">
        <v>20.415613659222402</v>
      </c>
      <c r="X14" s="13" t="s">
        <v>46</v>
      </c>
      <c r="Y14" s="13" t="s">
        <v>2</v>
      </c>
      <c r="Z14" s="14">
        <v>17.1470503615061</v>
      </c>
    </row>
    <row r="15" spans="1:26" x14ac:dyDescent="0.25">
      <c r="A15" t="s">
        <v>61</v>
      </c>
      <c r="B15" s="14">
        <v>20.934793029814401</v>
      </c>
      <c r="C15" s="14">
        <v>21.5335507927043</v>
      </c>
      <c r="D15" s="14">
        <v>20.7886541833156</v>
      </c>
      <c r="E15" s="14">
        <v>20.575267990278199</v>
      </c>
      <c r="F15" s="14">
        <v>20.471063473726801</v>
      </c>
      <c r="G15" s="14">
        <v>21.2763177965907</v>
      </c>
      <c r="H15" s="8" t="s">
        <v>61</v>
      </c>
      <c r="I15" s="14">
        <v>16.458600082297799</v>
      </c>
      <c r="J15" s="14">
        <v>16.9573908601356</v>
      </c>
      <c r="K15" s="14">
        <v>15.754713201053599</v>
      </c>
      <c r="L15" s="14">
        <v>16.3271574844246</v>
      </c>
      <c r="M15" s="14">
        <v>17.068509503167999</v>
      </c>
      <c r="N15" s="14">
        <v>17.668195225709798</v>
      </c>
      <c r="P15" s="13" t="s">
        <v>41</v>
      </c>
      <c r="Q15" s="13" t="s">
        <v>2</v>
      </c>
      <c r="R15" s="14">
        <v>21.236590662831102</v>
      </c>
      <c r="T15" s="13" t="s">
        <v>36</v>
      </c>
      <c r="U15" s="13" t="s">
        <v>2</v>
      </c>
      <c r="V15" s="14">
        <v>21.1021439645402</v>
      </c>
      <c r="X15" s="13" t="s">
        <v>47</v>
      </c>
      <c r="Y15" s="13" t="s">
        <v>2</v>
      </c>
      <c r="Z15" s="14">
        <v>16.040505858576701</v>
      </c>
    </row>
    <row r="16" spans="1:26" x14ac:dyDescent="0.25">
      <c r="A16" t="s">
        <v>62</v>
      </c>
      <c r="B16" s="14">
        <v>20.989896748759701</v>
      </c>
      <c r="C16" s="14">
        <v>21.233985729393702</v>
      </c>
      <c r="D16" s="14">
        <v>20.229516326430801</v>
      </c>
      <c r="E16" s="14">
        <v>20.408657710298801</v>
      </c>
      <c r="F16" s="14">
        <v>20.213473294440099</v>
      </c>
      <c r="G16" s="14">
        <v>20.4418577337924</v>
      </c>
      <c r="H16" s="8" t="s">
        <v>62</v>
      </c>
      <c r="I16" s="14">
        <v>16.4382077369103</v>
      </c>
      <c r="J16" s="14">
        <v>17.1470503615061</v>
      </c>
      <c r="K16" s="14">
        <v>16.040505858576701</v>
      </c>
      <c r="L16" s="14">
        <v>16.417685461116601</v>
      </c>
      <c r="M16" s="14">
        <v>17.347128071861899</v>
      </c>
      <c r="N16" s="14">
        <v>17.762619685171298</v>
      </c>
      <c r="P16" s="13" t="s">
        <v>45</v>
      </c>
      <c r="Q16" s="13" t="s">
        <v>2</v>
      </c>
      <c r="R16" s="14">
        <v>20.159534538755501</v>
      </c>
      <c r="T16" s="13" t="s">
        <v>39</v>
      </c>
      <c r="U16" s="13" t="s">
        <v>2</v>
      </c>
      <c r="V16" s="14">
        <v>21.175376301795598</v>
      </c>
      <c r="X16" s="13" t="s">
        <v>48</v>
      </c>
      <c r="Y16" s="13" t="s">
        <v>2</v>
      </c>
      <c r="Z16" s="14">
        <v>16.417685461116601</v>
      </c>
    </row>
    <row r="17" spans="1:26" x14ac:dyDescent="0.25">
      <c r="A17" t="s">
        <v>63</v>
      </c>
      <c r="B17" s="14">
        <v>21.9253783066926</v>
      </c>
      <c r="C17" s="14">
        <v>21.1485925596572</v>
      </c>
      <c r="D17" s="14">
        <v>20.379555880784999</v>
      </c>
      <c r="E17" s="14">
        <v>20.341303530523501</v>
      </c>
      <c r="F17" s="14">
        <v>20.328191314604599</v>
      </c>
      <c r="G17" s="14">
        <v>20.581624864952801</v>
      </c>
      <c r="H17" s="8" t="s">
        <v>63</v>
      </c>
      <c r="I17" s="14">
        <v>16.281990954027201</v>
      </c>
      <c r="J17" s="14">
        <v>17.0936263829275</v>
      </c>
      <c r="K17" s="14">
        <v>16.001429456525798</v>
      </c>
      <c r="L17" s="14">
        <v>16.262240520392702</v>
      </c>
      <c r="M17" s="14">
        <v>17.533599599748001</v>
      </c>
      <c r="N17" s="14">
        <v>17.8419623294131</v>
      </c>
      <c r="P17" s="13" t="s">
        <v>66</v>
      </c>
      <c r="Q17" s="13" t="s">
        <v>2</v>
      </c>
      <c r="R17" s="14">
        <v>20.583410565946199</v>
      </c>
      <c r="T17" s="13" t="s">
        <v>42</v>
      </c>
      <c r="U17" s="13" t="s">
        <v>2</v>
      </c>
      <c r="V17" s="14">
        <v>21.329815237439199</v>
      </c>
      <c r="X17" s="13" t="s">
        <v>92</v>
      </c>
      <c r="Y17" s="13" t="s">
        <v>2</v>
      </c>
      <c r="Z17" s="14">
        <v>17.347128071861899</v>
      </c>
    </row>
    <row r="18" spans="1:26" x14ac:dyDescent="0.25">
      <c r="E18" s="4"/>
      <c r="F18" s="4"/>
      <c r="G18" s="1"/>
      <c r="H18" s="8"/>
      <c r="J18" s="4"/>
      <c r="N18" s="1"/>
      <c r="P18" s="13" t="s">
        <v>67</v>
      </c>
      <c r="Q18" s="13" t="s">
        <v>2</v>
      </c>
      <c r="R18" s="14">
        <v>21.609364395870699</v>
      </c>
      <c r="T18" s="13" t="s">
        <v>78</v>
      </c>
      <c r="U18" s="13" t="s">
        <v>2</v>
      </c>
      <c r="V18" s="14">
        <v>20.600550923341899</v>
      </c>
      <c r="X18" s="13" t="s">
        <v>93</v>
      </c>
      <c r="Y18" s="13" t="s">
        <v>2</v>
      </c>
      <c r="Z18" s="14">
        <v>17.762619685171298</v>
      </c>
    </row>
    <row r="19" spans="1:26" x14ac:dyDescent="0.25">
      <c r="A19" s="50" t="s">
        <v>0</v>
      </c>
      <c r="B19" s="50"/>
      <c r="C19" s="50"/>
      <c r="D19" s="50"/>
      <c r="E19" s="50"/>
      <c r="F19" s="50"/>
      <c r="G19" s="51"/>
      <c r="H19" s="49" t="s">
        <v>117</v>
      </c>
      <c r="I19" s="50"/>
      <c r="J19" s="50"/>
      <c r="K19" s="50"/>
      <c r="L19" s="50"/>
      <c r="M19" s="50"/>
      <c r="N19" s="51"/>
      <c r="P19" s="13" t="s">
        <v>68</v>
      </c>
      <c r="Q19" s="13" t="s">
        <v>2</v>
      </c>
      <c r="R19" s="14">
        <v>21.934764433322901</v>
      </c>
      <c r="T19" s="13" t="s">
        <v>79</v>
      </c>
      <c r="U19" s="13" t="s">
        <v>2</v>
      </c>
      <c r="V19" s="14">
        <v>20.053869593549798</v>
      </c>
      <c r="X19" s="13" t="s">
        <v>65</v>
      </c>
      <c r="Y19" s="13" t="s">
        <v>2</v>
      </c>
      <c r="Z19" s="14">
        <v>16.8714274523123</v>
      </c>
    </row>
    <row r="20" spans="1:26" x14ac:dyDescent="0.25">
      <c r="A20" t="s">
        <v>110</v>
      </c>
      <c r="B20">
        <v>0</v>
      </c>
      <c r="C20">
        <v>10</v>
      </c>
      <c r="D20">
        <v>20</v>
      </c>
      <c r="E20" s="18">
        <v>30</v>
      </c>
      <c r="F20">
        <v>60</v>
      </c>
      <c r="G20" s="1">
        <v>90</v>
      </c>
      <c r="H20" t="s">
        <v>110</v>
      </c>
      <c r="I20">
        <v>0</v>
      </c>
      <c r="J20">
        <v>10</v>
      </c>
      <c r="K20">
        <v>20</v>
      </c>
      <c r="L20" s="18">
        <v>30</v>
      </c>
      <c r="M20">
        <v>60</v>
      </c>
      <c r="N20" s="1">
        <v>90</v>
      </c>
      <c r="P20" s="13" t="s">
        <v>69</v>
      </c>
      <c r="Q20" s="13" t="s">
        <v>2</v>
      </c>
      <c r="R20" s="14">
        <v>20.5411682477081</v>
      </c>
      <c r="T20" s="13" t="s">
        <v>80</v>
      </c>
      <c r="U20" s="13" t="s">
        <v>2</v>
      </c>
      <c r="V20" s="14">
        <v>21.0750053354881</v>
      </c>
      <c r="X20" s="13" t="s">
        <v>34</v>
      </c>
      <c r="Y20" s="13" t="s">
        <v>2</v>
      </c>
      <c r="Z20" s="14">
        <v>15.799096477852601</v>
      </c>
    </row>
    <row r="21" spans="1:26" x14ac:dyDescent="0.25">
      <c r="A21" t="s">
        <v>49</v>
      </c>
      <c r="B21">
        <v>1</v>
      </c>
      <c r="C21" s="5">
        <f>2^-((C3-J3)-($B3-$I3))</f>
        <v>2.3403168498866584</v>
      </c>
      <c r="D21" s="5">
        <f t="shared" ref="D21:G35" si="0">2^-((D3-K3)-($B3-$I3))</f>
        <v>2.022654026180752</v>
      </c>
      <c r="E21" s="5">
        <f t="shared" si="0"/>
        <v>0.83862507213351045</v>
      </c>
      <c r="F21" s="5">
        <f t="shared" si="0"/>
        <v>2.1143422727253349</v>
      </c>
      <c r="G21" s="6">
        <f t="shared" si="0"/>
        <v>8.6415980770345993</v>
      </c>
      <c r="H21" s="8" t="s">
        <v>98</v>
      </c>
      <c r="I21" s="5">
        <f>AVERAGE(B21:B23)</f>
        <v>1</v>
      </c>
      <c r="J21" s="5">
        <f>AVERAGE(C21:C23)</f>
        <v>2.4811488529383405</v>
      </c>
      <c r="K21" s="5">
        <f>AVERAGE(D21:D23)</f>
        <v>1.7610431262422652</v>
      </c>
      <c r="L21" s="5">
        <f>AVERAGE(E21:E23)</f>
        <v>1.6643780430291886</v>
      </c>
      <c r="M21" s="5">
        <f t="shared" ref="M21:N21" si="1">AVERAGE(F21:F23)</f>
        <v>2.3304178880964712</v>
      </c>
      <c r="N21" s="5">
        <f t="shared" si="1"/>
        <v>9.194410088426606</v>
      </c>
      <c r="P21" s="13" t="s">
        <v>34</v>
      </c>
      <c r="Q21" s="13" t="s">
        <v>2</v>
      </c>
      <c r="R21" s="14">
        <v>22.241834084338102</v>
      </c>
      <c r="T21" s="13" t="s">
        <v>81</v>
      </c>
      <c r="U21" s="13" t="s">
        <v>2</v>
      </c>
      <c r="V21" s="14">
        <v>22.112240680371499</v>
      </c>
      <c r="X21" s="13" t="s">
        <v>35</v>
      </c>
      <c r="Y21" s="13" t="s">
        <v>2</v>
      </c>
      <c r="Z21" s="14">
        <v>16.168048834045798</v>
      </c>
    </row>
    <row r="22" spans="1:26" x14ac:dyDescent="0.25">
      <c r="A22" t="s">
        <v>50</v>
      </c>
      <c r="B22">
        <v>1</v>
      </c>
      <c r="C22" s="5">
        <f t="shared" ref="C22:C35" si="2">2^-((C4-J4)-($B4-$I4))</f>
        <v>2.9697975084006685</v>
      </c>
      <c r="D22" s="5">
        <f t="shared" si="0"/>
        <v>1.9256569822164724</v>
      </c>
      <c r="E22" s="5">
        <f t="shared" si="0"/>
        <v>2.4358587328176307</v>
      </c>
      <c r="F22" s="5">
        <f t="shared" si="0"/>
        <v>2.9949783430974937</v>
      </c>
      <c r="G22" s="6">
        <f t="shared" si="0"/>
        <v>10.957843967053716</v>
      </c>
      <c r="H22" s="8" t="s">
        <v>99</v>
      </c>
      <c r="I22" s="5">
        <f>AVERAGE(B24:B26)</f>
        <v>1</v>
      </c>
      <c r="J22" s="5">
        <f t="shared" ref="J22:N22" si="3">AVERAGE(C24:C26)</f>
        <v>1.6215688794650429</v>
      </c>
      <c r="K22" s="5">
        <f t="shared" si="3"/>
        <v>1.9109743459314839</v>
      </c>
      <c r="L22" s="5">
        <f t="shared" si="3"/>
        <v>1.5577450102949397</v>
      </c>
      <c r="M22" s="5">
        <f t="shared" si="3"/>
        <v>1.6147541622547024</v>
      </c>
      <c r="N22" s="5">
        <f t="shared" si="3"/>
        <v>6.0591946938963366</v>
      </c>
      <c r="P22" s="13" t="s">
        <v>40</v>
      </c>
      <c r="Q22" s="13" t="s">
        <v>2</v>
      </c>
      <c r="R22" s="14">
        <v>21.521534255746001</v>
      </c>
      <c r="T22" s="13" t="s">
        <v>82</v>
      </c>
      <c r="U22" s="13" t="s">
        <v>2</v>
      </c>
      <c r="V22" s="14">
        <v>20.669874511963499</v>
      </c>
      <c r="X22" s="13" t="s">
        <v>36</v>
      </c>
      <c r="Y22" s="13" t="s">
        <v>2</v>
      </c>
      <c r="Z22" s="14">
        <v>16.795962026392701</v>
      </c>
    </row>
    <row r="23" spans="1:26" x14ac:dyDescent="0.25">
      <c r="A23" t="s">
        <v>51</v>
      </c>
      <c r="B23">
        <v>1</v>
      </c>
      <c r="C23" s="5">
        <f t="shared" si="2"/>
        <v>2.1333322005276942</v>
      </c>
      <c r="D23" s="5">
        <f t="shared" si="0"/>
        <v>1.3348183703295711</v>
      </c>
      <c r="E23" s="5">
        <f t="shared" si="0"/>
        <v>1.7186503241364244</v>
      </c>
      <c r="F23" s="5">
        <f t="shared" si="0"/>
        <v>1.8819330484665846</v>
      </c>
      <c r="G23" s="6">
        <f t="shared" si="0"/>
        <v>7.9837882211915057</v>
      </c>
      <c r="H23" s="8" t="s">
        <v>100</v>
      </c>
      <c r="I23" s="5">
        <f>AVERAGE(B27:B29)</f>
        <v>1</v>
      </c>
      <c r="J23" s="5">
        <f t="shared" ref="J23:N23" si="4">AVERAGE(C27:C29)</f>
        <v>0.86982770905220008</v>
      </c>
      <c r="K23" s="5">
        <f t="shared" si="4"/>
        <v>1.5604150485591761</v>
      </c>
      <c r="L23" s="5">
        <f t="shared" si="4"/>
        <v>1.7928293747021788</v>
      </c>
      <c r="M23" s="5">
        <f t="shared" si="4"/>
        <v>2.1230544137568317</v>
      </c>
      <c r="N23" s="5">
        <f t="shared" si="4"/>
        <v>2.5277435751161037</v>
      </c>
      <c r="P23" s="13" t="s">
        <v>43</v>
      </c>
      <c r="Q23" s="13" t="s">
        <v>2</v>
      </c>
      <c r="R23" s="14">
        <v>20.132840478857801</v>
      </c>
      <c r="T23" s="13" t="s">
        <v>83</v>
      </c>
      <c r="U23" s="13" t="s">
        <v>2</v>
      </c>
      <c r="V23" s="14">
        <v>20.598316190902</v>
      </c>
      <c r="X23" s="13" t="s">
        <v>78</v>
      </c>
      <c r="Y23" s="13" t="s">
        <v>2</v>
      </c>
      <c r="Z23" s="14">
        <v>16.328026503632302</v>
      </c>
    </row>
    <row r="24" spans="1:26" x14ac:dyDescent="0.25">
      <c r="A24" t="s">
        <v>52</v>
      </c>
      <c r="B24">
        <v>1</v>
      </c>
      <c r="C24" s="5">
        <f t="shared" si="2"/>
        <v>1.7412284506049867</v>
      </c>
      <c r="D24" s="5">
        <f t="shared" si="0"/>
        <v>2.3254467847226343</v>
      </c>
      <c r="E24" s="5">
        <f t="shared" si="0"/>
        <v>1.7489832029027654</v>
      </c>
      <c r="F24" s="5">
        <f t="shared" si="0"/>
        <v>1.3991255183697382</v>
      </c>
      <c r="G24" s="6">
        <f t="shared" si="0"/>
        <v>7.5161538232435268</v>
      </c>
      <c r="H24" s="8" t="s">
        <v>101</v>
      </c>
      <c r="I24" s="5">
        <f>AVERAGE(B30:B32)</f>
        <v>1</v>
      </c>
      <c r="J24" s="5">
        <f t="shared" ref="J24:N24" si="5">AVERAGE(C30:C32)</f>
        <v>0.80369285052080475</v>
      </c>
      <c r="K24" s="5">
        <f t="shared" si="5"/>
        <v>0.97567363231322457</v>
      </c>
      <c r="L24" s="5">
        <f t="shared" si="5"/>
        <v>2.1456582115049407</v>
      </c>
      <c r="M24" s="5">
        <f>AVERAGE(F30:F3132)</f>
        <v>3.0931388407237632</v>
      </c>
      <c r="N24" s="5">
        <f t="shared" si="5"/>
        <v>2.686723020535021</v>
      </c>
      <c r="P24" s="13" t="s">
        <v>35</v>
      </c>
      <c r="Q24" s="13" t="s">
        <v>2</v>
      </c>
      <c r="R24" s="14">
        <v>21.226565407668801</v>
      </c>
      <c r="T24" s="13" t="s">
        <v>84</v>
      </c>
      <c r="U24" s="13" t="s">
        <v>2</v>
      </c>
      <c r="V24" s="14">
        <v>21.9752290907646</v>
      </c>
      <c r="X24" s="13" t="s">
        <v>66</v>
      </c>
      <c r="Y24" s="13" t="s">
        <v>2</v>
      </c>
      <c r="Z24" s="14">
        <v>16.619153416621</v>
      </c>
    </row>
    <row r="25" spans="1:26" x14ac:dyDescent="0.25">
      <c r="A25" t="s">
        <v>53</v>
      </c>
      <c r="B25">
        <v>1</v>
      </c>
      <c r="C25" s="5">
        <f t="shared" si="2"/>
        <v>1.5160737635749744</v>
      </c>
      <c r="D25" s="5">
        <f t="shared" si="0"/>
        <v>1.9990513119161937</v>
      </c>
      <c r="E25" s="5">
        <f t="shared" si="0"/>
        <v>1.474009745798186</v>
      </c>
      <c r="F25" s="5">
        <f t="shared" si="0"/>
        <v>1.6024470879368735</v>
      </c>
      <c r="G25" s="6">
        <f t="shared" si="0"/>
        <v>5.45756476990426</v>
      </c>
      <c r="H25" s="8" t="s">
        <v>102</v>
      </c>
      <c r="I25" s="5">
        <f>AVERAGE(B33:B35)</f>
        <v>1</v>
      </c>
      <c r="J25" s="5">
        <f t="shared" ref="J25:N25" si="6">AVERAGE(C33:C35)</f>
        <v>1.7734455845214601</v>
      </c>
      <c r="K25" s="5">
        <f t="shared" si="6"/>
        <v>1.4562931773563754</v>
      </c>
      <c r="L25" s="5">
        <f t="shared" si="6"/>
        <v>1.8678895397709525</v>
      </c>
      <c r="M25" s="5">
        <f t="shared" si="6"/>
        <v>4.1749643745299059</v>
      </c>
      <c r="N25" s="5">
        <f t="shared" si="6"/>
        <v>4.3234404865030305</v>
      </c>
      <c r="P25" s="13" t="s">
        <v>65</v>
      </c>
      <c r="Q25" s="13" t="s">
        <v>2</v>
      </c>
      <c r="R25" s="14">
        <v>22.527114322089702</v>
      </c>
      <c r="T25" s="13" t="s">
        <v>38</v>
      </c>
      <c r="U25" s="13" t="s">
        <v>2</v>
      </c>
      <c r="V25" s="14">
        <v>21.765611474939799</v>
      </c>
      <c r="X25" s="13" t="s">
        <v>91</v>
      </c>
      <c r="Y25" s="13" t="s">
        <v>2</v>
      </c>
      <c r="Z25" s="14">
        <v>16.281990954027201</v>
      </c>
    </row>
    <row r="26" spans="1:26" x14ac:dyDescent="0.25">
      <c r="A26" t="s">
        <v>54</v>
      </c>
      <c r="B26">
        <v>1</v>
      </c>
      <c r="C26" s="5">
        <f t="shared" si="2"/>
        <v>1.6074044242151673</v>
      </c>
      <c r="D26" s="5">
        <f t="shared" si="0"/>
        <v>1.4084249411556233</v>
      </c>
      <c r="E26" s="5">
        <f t="shared" si="0"/>
        <v>1.450242082183868</v>
      </c>
      <c r="F26" s="5">
        <f t="shared" si="0"/>
        <v>1.8426898804574958</v>
      </c>
      <c r="G26" s="6">
        <f t="shared" si="0"/>
        <v>5.2038654885412212</v>
      </c>
      <c r="H26" s="8"/>
      <c r="I26" s="5"/>
      <c r="J26" s="5"/>
      <c r="K26" s="5"/>
      <c r="L26" s="5"/>
      <c r="M26" s="5"/>
      <c r="N26" s="5"/>
      <c r="P26" s="13" t="s">
        <v>37</v>
      </c>
      <c r="Q26" s="13" t="s">
        <v>2</v>
      </c>
      <c r="R26" s="14">
        <v>21.2563699475816</v>
      </c>
      <c r="T26" s="13" t="s">
        <v>44</v>
      </c>
      <c r="U26" s="13" t="s">
        <v>2</v>
      </c>
      <c r="V26" s="14">
        <v>20.642522526473702</v>
      </c>
      <c r="X26" s="13" t="s">
        <v>46</v>
      </c>
      <c r="Y26" s="13" t="s">
        <v>2</v>
      </c>
      <c r="Z26" s="14">
        <v>17.0936263829275</v>
      </c>
    </row>
    <row r="27" spans="1:26" x14ac:dyDescent="0.25">
      <c r="A27" t="s">
        <v>55</v>
      </c>
      <c r="B27">
        <v>1</v>
      </c>
      <c r="C27" s="5">
        <f t="shared" si="2"/>
        <v>0.88592722360070764</v>
      </c>
      <c r="D27" s="5">
        <f t="shared" si="0"/>
        <v>1.0992492836828556</v>
      </c>
      <c r="E27" s="5">
        <f t="shared" si="0"/>
        <v>1.7600621896550028</v>
      </c>
      <c r="F27" s="5">
        <f t="shared" si="0"/>
        <v>1.7021130940744458</v>
      </c>
      <c r="G27" s="6">
        <f t="shared" si="0"/>
        <v>2.7628371266303211</v>
      </c>
      <c r="H27" s="8"/>
      <c r="I27" s="20">
        <v>0</v>
      </c>
      <c r="J27" s="20">
        <v>10</v>
      </c>
      <c r="K27" s="20">
        <v>20</v>
      </c>
      <c r="L27" s="18">
        <v>30</v>
      </c>
      <c r="M27" s="20">
        <v>60</v>
      </c>
      <c r="N27" s="19">
        <v>90</v>
      </c>
      <c r="P27" s="13" t="s">
        <v>41</v>
      </c>
      <c r="Q27" s="13" t="s">
        <v>2</v>
      </c>
      <c r="R27" s="14">
        <v>21.273450299149498</v>
      </c>
      <c r="T27" s="13" t="s">
        <v>36</v>
      </c>
      <c r="U27" s="13" t="s">
        <v>2</v>
      </c>
      <c r="V27" s="14">
        <v>21.282440663864499</v>
      </c>
      <c r="X27" s="13" t="s">
        <v>47</v>
      </c>
      <c r="Y27" s="13" t="s">
        <v>2</v>
      </c>
      <c r="Z27" s="14">
        <v>16.001429456525798</v>
      </c>
    </row>
    <row r="28" spans="1:26" x14ac:dyDescent="0.25">
      <c r="A28" t="s">
        <v>56</v>
      </c>
      <c r="B28">
        <v>1</v>
      </c>
      <c r="C28" s="5">
        <f t="shared" si="2"/>
        <v>0.88309905866525362</v>
      </c>
      <c r="D28" s="5">
        <f t="shared" si="0"/>
        <v>1.7287488954637407</v>
      </c>
      <c r="E28" s="5">
        <f t="shared" si="0"/>
        <v>1.8380973978414323</v>
      </c>
      <c r="F28" s="5">
        <f t="shared" si="0"/>
        <v>1.7849395993587862</v>
      </c>
      <c r="G28" s="6">
        <f t="shared" si="0"/>
        <v>2.3762097104069495</v>
      </c>
      <c r="H28" s="8" t="s">
        <v>106</v>
      </c>
      <c r="I28" s="5">
        <f>AVERAGE(I21:I25)</f>
        <v>1</v>
      </c>
      <c r="J28" s="5">
        <f t="shared" ref="J28:N28" si="7">AVERAGE(J21:J25)</f>
        <v>1.5099367752995696</v>
      </c>
      <c r="K28" s="5">
        <f t="shared" si="7"/>
        <v>1.532879866080505</v>
      </c>
      <c r="L28" s="5">
        <f t="shared" si="7"/>
        <v>1.8057000358604403</v>
      </c>
      <c r="M28" s="5">
        <f t="shared" si="7"/>
        <v>2.6672659358723352</v>
      </c>
      <c r="N28" s="5">
        <f t="shared" si="7"/>
        <v>4.9583023728954192</v>
      </c>
      <c r="P28" s="13" t="s">
        <v>45</v>
      </c>
      <c r="Q28" s="13" t="s">
        <v>2</v>
      </c>
      <c r="R28" s="14">
        <v>19.818670578375901</v>
      </c>
      <c r="T28" s="13" t="s">
        <v>39</v>
      </c>
      <c r="U28" s="13" t="s">
        <v>2</v>
      </c>
      <c r="V28" s="14">
        <v>21.241429470414101</v>
      </c>
      <c r="X28" s="13" t="s">
        <v>48</v>
      </c>
      <c r="Y28" s="13" t="s">
        <v>2</v>
      </c>
      <c r="Z28" s="14">
        <v>16.262240520392702</v>
      </c>
    </row>
    <row r="29" spans="1:26" x14ac:dyDescent="0.25">
      <c r="A29" t="s">
        <v>57</v>
      </c>
      <c r="B29">
        <v>1</v>
      </c>
      <c r="C29" s="5">
        <f t="shared" si="2"/>
        <v>0.8404568448906391</v>
      </c>
      <c r="D29" s="5">
        <f t="shared" si="0"/>
        <v>1.8532469665309323</v>
      </c>
      <c r="E29" s="5">
        <f t="shared" si="0"/>
        <v>1.7803285366101009</v>
      </c>
      <c r="F29" s="5">
        <f t="shared" si="0"/>
        <v>2.8821105478372626</v>
      </c>
      <c r="G29" s="6">
        <f t="shared" si="0"/>
        <v>2.4441838883110405</v>
      </c>
      <c r="H29" s="8"/>
      <c r="N29" s="1"/>
      <c r="P29" s="13" t="s">
        <v>66</v>
      </c>
      <c r="Q29" s="13" t="s">
        <v>2</v>
      </c>
      <c r="R29" s="14">
        <v>20.814906597160501</v>
      </c>
      <c r="T29" s="13" t="s">
        <v>42</v>
      </c>
      <c r="U29" s="13" t="s">
        <v>2</v>
      </c>
      <c r="V29" s="14">
        <v>21.5029456857688</v>
      </c>
      <c r="X29" s="13" t="s">
        <v>92</v>
      </c>
      <c r="Y29" s="13" t="s">
        <v>2</v>
      </c>
      <c r="Z29" s="14">
        <v>17.533599599748001</v>
      </c>
    </row>
    <row r="30" spans="1:26" x14ac:dyDescent="0.25">
      <c r="A30" t="s">
        <v>58</v>
      </c>
      <c r="B30">
        <v>1</v>
      </c>
      <c r="C30" s="5">
        <f t="shared" si="2"/>
        <v>0.71175064871216753</v>
      </c>
      <c r="D30" s="5">
        <f t="shared" si="0"/>
        <v>0.96683473094866013</v>
      </c>
      <c r="E30" s="5">
        <f t="shared" si="0"/>
        <v>2.2007208784693026</v>
      </c>
      <c r="F30" s="5">
        <f t="shared" si="0"/>
        <v>3.1827135704625613</v>
      </c>
      <c r="G30" s="6">
        <f t="shared" si="0"/>
        <v>2.8335385045792991</v>
      </c>
      <c r="H30" s="8"/>
      <c r="N30" s="1"/>
      <c r="P30" s="13" t="s">
        <v>67</v>
      </c>
      <c r="Q30" s="13" t="s">
        <v>2</v>
      </c>
      <c r="R30" s="14">
        <v>21.749956032620901</v>
      </c>
      <c r="T30" s="13" t="s">
        <v>78</v>
      </c>
      <c r="U30" s="13" t="s">
        <v>2</v>
      </c>
      <c r="V30" s="14">
        <v>20.810189645733701</v>
      </c>
      <c r="X30" s="13" t="s">
        <v>93</v>
      </c>
      <c r="Y30" s="13" t="s">
        <v>2</v>
      </c>
      <c r="Z30" s="14">
        <v>17.8419623294131</v>
      </c>
    </row>
    <row r="31" spans="1:26" x14ac:dyDescent="0.25">
      <c r="A31" t="s">
        <v>59</v>
      </c>
      <c r="B31">
        <v>1</v>
      </c>
      <c r="C31" s="5">
        <f t="shared" si="2"/>
        <v>0.7954206648401444</v>
      </c>
      <c r="D31" s="5">
        <f t="shared" si="0"/>
        <v>1.0786676886362365</v>
      </c>
      <c r="E31" s="5">
        <f t="shared" si="0"/>
        <v>1.8533108898068402</v>
      </c>
      <c r="F31" s="5">
        <f t="shared" si="0"/>
        <v>1.656617004014969</v>
      </c>
      <c r="G31" s="6">
        <f t="shared" si="0"/>
        <v>2.8578557090361651</v>
      </c>
      <c r="H31" s="8"/>
      <c r="N31" s="1"/>
      <c r="P31" s="13" t="s">
        <v>68</v>
      </c>
      <c r="Q31" s="13" t="s">
        <v>2</v>
      </c>
      <c r="R31" s="14">
        <v>22.158127996447899</v>
      </c>
      <c r="T31" s="13" t="s">
        <v>79</v>
      </c>
      <c r="U31" s="13" t="s">
        <v>2</v>
      </c>
      <c r="V31" s="14">
        <v>20.258712120767001</v>
      </c>
      <c r="X31" s="13" t="s">
        <v>65</v>
      </c>
      <c r="Y31" s="13" t="s">
        <v>2</v>
      </c>
      <c r="Z31" s="14">
        <v>16.7730389229148</v>
      </c>
    </row>
    <row r="32" spans="1:26" x14ac:dyDescent="0.25">
      <c r="A32" t="s">
        <v>60</v>
      </c>
      <c r="B32">
        <v>1</v>
      </c>
      <c r="C32" s="5">
        <f t="shared" si="2"/>
        <v>0.9039072380101022</v>
      </c>
      <c r="D32" s="5">
        <f t="shared" si="0"/>
        <v>0.88151847735477717</v>
      </c>
      <c r="E32" s="5">
        <f t="shared" si="0"/>
        <v>2.3829428662386785</v>
      </c>
      <c r="F32" s="5">
        <f t="shared" si="0"/>
        <v>2.9070364730564737</v>
      </c>
      <c r="G32" s="6">
        <f t="shared" si="0"/>
        <v>2.3687748479895991</v>
      </c>
      <c r="H32" s="8"/>
      <c r="N32" s="1"/>
      <c r="P32" s="13" t="s">
        <v>69</v>
      </c>
      <c r="Q32" s="13" t="s">
        <v>2</v>
      </c>
      <c r="R32" s="14">
        <v>20.5289257325976</v>
      </c>
      <c r="T32" s="13" t="s">
        <v>80</v>
      </c>
      <c r="U32" s="13" t="s">
        <v>2</v>
      </c>
      <c r="V32" s="14">
        <v>20.8305997206044</v>
      </c>
      <c r="X32" s="13" t="s">
        <v>34</v>
      </c>
      <c r="Y32" s="13" t="s">
        <v>2</v>
      </c>
      <c r="Z32" s="14">
        <v>16.064671299234</v>
      </c>
    </row>
    <row r="33" spans="1:26" x14ac:dyDescent="0.25">
      <c r="A33" t="s">
        <v>61</v>
      </c>
      <c r="B33">
        <v>1</v>
      </c>
      <c r="C33" s="5">
        <f t="shared" si="2"/>
        <v>0.93305434351154815</v>
      </c>
      <c r="D33" s="5">
        <f t="shared" si="0"/>
        <v>0.67936178177381812</v>
      </c>
      <c r="E33" s="5">
        <f t="shared" si="0"/>
        <v>1.1712771110072981</v>
      </c>
      <c r="F33" s="5">
        <f t="shared" si="0"/>
        <v>2.1047355500609113</v>
      </c>
      <c r="G33" s="6">
        <f t="shared" si="0"/>
        <v>1.8252200116418089</v>
      </c>
      <c r="H33" s="8"/>
      <c r="N33" s="1"/>
      <c r="P33" s="13" t="s">
        <v>34</v>
      </c>
      <c r="Q33" s="13" t="s">
        <v>2</v>
      </c>
      <c r="R33" s="14">
        <v>22.441261907627801</v>
      </c>
      <c r="T33" s="13" t="s">
        <v>81</v>
      </c>
      <c r="U33" s="13" t="s">
        <v>2</v>
      </c>
      <c r="V33" s="14">
        <v>21.119315412182701</v>
      </c>
      <c r="X33" s="13" t="s">
        <v>35</v>
      </c>
      <c r="Y33" s="13" t="s">
        <v>2</v>
      </c>
      <c r="Z33" s="14">
        <v>16.303529161535899</v>
      </c>
    </row>
    <row r="34" spans="1:26" x14ac:dyDescent="0.25">
      <c r="A34" t="s">
        <v>62</v>
      </c>
      <c r="B34">
        <v>1</v>
      </c>
      <c r="C34" s="5">
        <f t="shared" si="2"/>
        <v>1.380081669157714</v>
      </c>
      <c r="D34" s="5">
        <f t="shared" si="0"/>
        <v>1.285810951841043</v>
      </c>
      <c r="E34" s="5">
        <f t="shared" si="0"/>
        <v>1.4750018486830978</v>
      </c>
      <c r="F34" s="5">
        <f t="shared" si="0"/>
        <v>3.2161702739899969</v>
      </c>
      <c r="G34" s="6">
        <f t="shared" si="0"/>
        <v>3.6615410323883126</v>
      </c>
      <c r="H34" s="8"/>
      <c r="N34" s="1"/>
      <c r="P34" s="13" t="s">
        <v>40</v>
      </c>
      <c r="Q34" s="13" t="s">
        <v>2</v>
      </c>
      <c r="R34" s="14">
        <v>21.632834526907502</v>
      </c>
      <c r="T34" s="13" t="s">
        <v>82</v>
      </c>
      <c r="U34" s="13" t="s">
        <v>2</v>
      </c>
      <c r="V34" s="14">
        <v>20.775972588398702</v>
      </c>
      <c r="X34" s="13" t="s">
        <v>36</v>
      </c>
      <c r="Y34" s="13" t="s">
        <v>2</v>
      </c>
      <c r="Z34" s="14">
        <v>16.3775529776665</v>
      </c>
    </row>
    <row r="35" spans="1:26" x14ac:dyDescent="0.25">
      <c r="A35" t="s">
        <v>63</v>
      </c>
      <c r="B35">
        <v>1</v>
      </c>
      <c r="C35" s="5">
        <f t="shared" si="2"/>
        <v>3.0072007408951182</v>
      </c>
      <c r="D35" s="5">
        <f t="shared" si="0"/>
        <v>2.4037067984542655</v>
      </c>
      <c r="E35" s="5">
        <f t="shared" si="0"/>
        <v>2.957389659622462</v>
      </c>
      <c r="F35" s="5">
        <f t="shared" si="0"/>
        <v>7.2039872995388103</v>
      </c>
      <c r="G35" s="6">
        <f t="shared" si="0"/>
        <v>7.4835604154789701</v>
      </c>
      <c r="H35" s="8"/>
      <c r="N35" s="1"/>
      <c r="P35" s="13" t="s">
        <v>43</v>
      </c>
      <c r="Q35" s="13" t="s">
        <v>2</v>
      </c>
      <c r="R35" s="14">
        <v>20.091181951378001</v>
      </c>
      <c r="T35" s="13" t="s">
        <v>83</v>
      </c>
      <c r="U35" s="13" t="s">
        <v>2</v>
      </c>
      <c r="V35" s="14">
        <v>20.638789146999901</v>
      </c>
      <c r="X35" s="13" t="s">
        <v>78</v>
      </c>
      <c r="Y35" s="13" t="s">
        <v>2</v>
      </c>
      <c r="Z35" s="14">
        <v>16.373657907209399</v>
      </c>
    </row>
    <row r="36" spans="1:26" x14ac:dyDescent="0.25">
      <c r="P36" s="13" t="s">
        <v>35</v>
      </c>
      <c r="Q36" s="13" t="s">
        <v>2</v>
      </c>
      <c r="R36" s="14">
        <v>33.947955837384697</v>
      </c>
      <c r="T36" s="13" t="s">
        <v>84</v>
      </c>
      <c r="U36" s="13" t="s">
        <v>2</v>
      </c>
      <c r="V36" s="14">
        <v>22.077400709269899</v>
      </c>
      <c r="X36" s="13" t="s">
        <v>66</v>
      </c>
      <c r="Y36" s="13" t="s">
        <v>2</v>
      </c>
      <c r="Z36" s="14">
        <v>16.543641334396401</v>
      </c>
    </row>
    <row r="37" spans="1:26" x14ac:dyDescent="0.25">
      <c r="B37">
        <f>_xlfn.STDEV.P(B21:B35)</f>
        <v>0</v>
      </c>
      <c r="C37">
        <f t="shared" ref="C37:G37" si="8">_xlfn.STDEV.P(C21:C35)</f>
        <v>0.75759522111470678</v>
      </c>
      <c r="D37">
        <f t="shared" si="8"/>
        <v>0.52422937225912591</v>
      </c>
      <c r="E37">
        <f t="shared" si="8"/>
        <v>0.51075327464848341</v>
      </c>
      <c r="F37">
        <f t="shared" si="8"/>
        <v>1.3807117139426155</v>
      </c>
      <c r="G37">
        <f t="shared" si="8"/>
        <v>2.7914373247890154</v>
      </c>
      <c r="P37" s="13" t="s">
        <v>2</v>
      </c>
      <c r="Q37" s="13" t="s">
        <v>2</v>
      </c>
      <c r="R37" s="14"/>
      <c r="T37" s="13" t="s">
        <v>2</v>
      </c>
      <c r="U37" s="13" t="s">
        <v>2</v>
      </c>
      <c r="V37" s="14"/>
      <c r="X37" s="13" t="s">
        <v>91</v>
      </c>
      <c r="Y37" s="13" t="s">
        <v>2</v>
      </c>
      <c r="Z37" s="14">
        <v>20.934793029814401</v>
      </c>
    </row>
    <row r="38" spans="1:26" x14ac:dyDescent="0.25">
      <c r="P38" s="13" t="s">
        <v>2</v>
      </c>
      <c r="Q38" s="13" t="s">
        <v>2</v>
      </c>
      <c r="R38" s="14"/>
      <c r="T38" s="13" t="s">
        <v>2</v>
      </c>
      <c r="U38" s="13" t="s">
        <v>2</v>
      </c>
      <c r="V38" s="14"/>
      <c r="X38" s="13" t="s">
        <v>46</v>
      </c>
      <c r="Y38" s="13" t="s">
        <v>2</v>
      </c>
      <c r="Z38" s="14">
        <v>21.5335507927043</v>
      </c>
    </row>
    <row r="39" spans="1:26" x14ac:dyDescent="0.25">
      <c r="P39" s="15" t="s">
        <v>70</v>
      </c>
      <c r="Q39" s="13" t="s">
        <v>2</v>
      </c>
      <c r="R39" s="14">
        <v>24.276355806771999</v>
      </c>
      <c r="T39" s="13" t="s">
        <v>2</v>
      </c>
      <c r="U39" s="13" t="s">
        <v>2</v>
      </c>
      <c r="V39" s="14"/>
      <c r="X39" s="13" t="s">
        <v>47</v>
      </c>
      <c r="Y39" s="13" t="s">
        <v>2</v>
      </c>
      <c r="Z39" s="14">
        <v>20.7886541833156</v>
      </c>
    </row>
    <row r="40" spans="1:26" x14ac:dyDescent="0.25">
      <c r="P40" s="15" t="s">
        <v>71</v>
      </c>
      <c r="Q40" s="13" t="s">
        <v>2</v>
      </c>
      <c r="R40" s="14">
        <v>22.9392823830607</v>
      </c>
      <c r="T40" s="15" t="s">
        <v>85</v>
      </c>
      <c r="U40" s="13" t="s">
        <v>2</v>
      </c>
      <c r="V40" s="14">
        <v>22.5707347553357</v>
      </c>
      <c r="X40" s="13" t="s">
        <v>48</v>
      </c>
      <c r="Y40" s="13" t="s">
        <v>2</v>
      </c>
      <c r="Z40" s="14">
        <v>20.575267990278199</v>
      </c>
    </row>
    <row r="41" spans="1:26" x14ac:dyDescent="0.25">
      <c r="P41" s="15" t="s">
        <v>72</v>
      </c>
      <c r="Q41" s="13" t="s">
        <v>2</v>
      </c>
      <c r="R41" s="14">
        <v>15.0004827537088</v>
      </c>
      <c r="T41" s="15" t="s">
        <v>86</v>
      </c>
      <c r="U41" s="13" t="s">
        <v>2</v>
      </c>
      <c r="V41" s="14">
        <v>23.221927426496698</v>
      </c>
      <c r="X41" s="13" t="s">
        <v>92</v>
      </c>
      <c r="Y41" s="13" t="s">
        <v>2</v>
      </c>
      <c r="Z41" s="14">
        <v>20.471063473726801</v>
      </c>
    </row>
    <row r="42" spans="1:26" x14ac:dyDescent="0.25">
      <c r="P42" s="15" t="s">
        <v>73</v>
      </c>
      <c r="Q42" s="13" t="s">
        <v>2</v>
      </c>
      <c r="R42" s="14">
        <v>21.922850016126699</v>
      </c>
      <c r="T42" s="15" t="s">
        <v>87</v>
      </c>
      <c r="U42" s="13" t="s">
        <v>2</v>
      </c>
      <c r="V42" s="14">
        <v>22.639076683820601</v>
      </c>
      <c r="X42" s="13" t="s">
        <v>93</v>
      </c>
      <c r="Y42" s="13" t="s">
        <v>2</v>
      </c>
      <c r="Z42" s="14">
        <v>21.2763177965907</v>
      </c>
    </row>
    <row r="43" spans="1:26" x14ac:dyDescent="0.25">
      <c r="P43" s="15" t="s">
        <v>74</v>
      </c>
      <c r="Q43" s="13" t="s">
        <v>2</v>
      </c>
      <c r="R43" s="14">
        <v>25.600118683121199</v>
      </c>
      <c r="T43" s="15" t="s">
        <v>88</v>
      </c>
      <c r="U43" s="13" t="s">
        <v>2</v>
      </c>
      <c r="V43" s="14">
        <v>25.383318300455201</v>
      </c>
      <c r="X43" s="13" t="s">
        <v>65</v>
      </c>
      <c r="Y43" s="13" t="s">
        <v>2</v>
      </c>
      <c r="Z43" s="14">
        <v>21.875609675079101</v>
      </c>
    </row>
    <row r="44" spans="1:26" x14ac:dyDescent="0.25">
      <c r="P44" s="15" t="s">
        <v>75</v>
      </c>
      <c r="Q44" s="13" t="s">
        <v>2</v>
      </c>
      <c r="R44" s="14">
        <v>22.364859327665599</v>
      </c>
      <c r="T44" s="15" t="s">
        <v>89</v>
      </c>
      <c r="U44" s="13" t="s">
        <v>2</v>
      </c>
      <c r="V44" s="14">
        <v>19.395094468762</v>
      </c>
      <c r="X44" s="13" t="s">
        <v>34</v>
      </c>
      <c r="Y44" s="13" t="s">
        <v>2</v>
      </c>
      <c r="Z44" s="14">
        <v>21.5418960566106</v>
      </c>
    </row>
    <row r="45" spans="1:26" x14ac:dyDescent="0.25">
      <c r="P45" s="15" t="s">
        <v>76</v>
      </c>
      <c r="Q45" s="13" t="s">
        <v>2</v>
      </c>
      <c r="R45" s="14">
        <v>22.849062422762898</v>
      </c>
      <c r="T45" s="15" t="s">
        <v>90</v>
      </c>
      <c r="U45" s="13" t="s">
        <v>2</v>
      </c>
      <c r="V45" s="14">
        <v>19.464862454344701</v>
      </c>
      <c r="X45" s="13" t="s">
        <v>35</v>
      </c>
      <c r="Y45" s="13" t="s">
        <v>2</v>
      </c>
      <c r="Z45" s="14">
        <v>21.1301706380445</v>
      </c>
    </row>
    <row r="46" spans="1:26" x14ac:dyDescent="0.25">
      <c r="P46" s="15" t="s">
        <v>77</v>
      </c>
      <c r="Q46" s="13" t="s">
        <v>2</v>
      </c>
      <c r="R46" s="14">
        <v>18.906362158049301</v>
      </c>
      <c r="T46" s="13"/>
      <c r="U46" s="13"/>
      <c r="V46" s="14"/>
      <c r="X46" s="13" t="s">
        <v>36</v>
      </c>
      <c r="Y46" s="13" t="s">
        <v>2</v>
      </c>
      <c r="Z46" s="14">
        <v>20.850684321440301</v>
      </c>
    </row>
    <row r="47" spans="1:26" x14ac:dyDescent="0.25">
      <c r="P47" s="13"/>
      <c r="Q47" s="13"/>
      <c r="R47" s="14"/>
      <c r="T47" s="13"/>
      <c r="U47" s="13"/>
      <c r="V47" s="14"/>
      <c r="X47" s="13" t="s">
        <v>78</v>
      </c>
      <c r="Y47" s="13" t="s">
        <v>2</v>
      </c>
      <c r="Z47" s="14">
        <v>20.557300893028501</v>
      </c>
    </row>
    <row r="48" spans="1:26" x14ac:dyDescent="0.25">
      <c r="P48" s="13"/>
      <c r="Q48" s="13"/>
      <c r="R48" s="14"/>
      <c r="T48" s="13"/>
      <c r="U48" s="13"/>
      <c r="V48" s="14"/>
      <c r="X48" s="13" t="s">
        <v>66</v>
      </c>
      <c r="Y48" s="13" t="s">
        <v>2</v>
      </c>
      <c r="Z48" s="14">
        <v>20.0729559305043</v>
      </c>
    </row>
    <row r="49" spans="16:26" x14ac:dyDescent="0.25">
      <c r="P49" s="13"/>
      <c r="Q49" s="13"/>
      <c r="R49" s="14"/>
      <c r="T49" s="13"/>
      <c r="U49" s="13"/>
      <c r="V49" s="14"/>
      <c r="X49" s="13" t="s">
        <v>91</v>
      </c>
      <c r="Y49" s="13" t="s">
        <v>2</v>
      </c>
      <c r="Z49" s="14">
        <v>20.989896748759701</v>
      </c>
    </row>
    <row r="50" spans="16:26" x14ac:dyDescent="0.25">
      <c r="P50" s="13"/>
      <c r="Q50" s="13"/>
      <c r="R50" s="14"/>
      <c r="T50" s="13"/>
      <c r="U50" s="13"/>
      <c r="V50" s="14"/>
      <c r="X50" s="13" t="s">
        <v>46</v>
      </c>
      <c r="Y50" s="13" t="s">
        <v>2</v>
      </c>
      <c r="Z50" s="14">
        <v>21.233985729393702</v>
      </c>
    </row>
    <row r="51" spans="16:26" x14ac:dyDescent="0.25">
      <c r="P51" s="13"/>
      <c r="Q51" s="13"/>
      <c r="R51" s="14"/>
      <c r="T51" s="13"/>
      <c r="U51" s="13"/>
      <c r="V51" s="14"/>
      <c r="X51" s="13" t="s">
        <v>47</v>
      </c>
      <c r="Y51" s="13" t="s">
        <v>2</v>
      </c>
      <c r="Z51" s="14">
        <v>20.229516326430801</v>
      </c>
    </row>
    <row r="52" spans="16:26" x14ac:dyDescent="0.25">
      <c r="P52" s="13"/>
      <c r="Q52" s="13"/>
      <c r="R52" s="14"/>
      <c r="T52" s="13"/>
      <c r="U52" s="13"/>
      <c r="V52" s="14"/>
      <c r="X52" s="13" t="s">
        <v>48</v>
      </c>
      <c r="Y52" s="13" t="s">
        <v>2</v>
      </c>
      <c r="Z52" s="14">
        <v>20.408657710298801</v>
      </c>
    </row>
    <row r="53" spans="16:26" x14ac:dyDescent="0.25">
      <c r="P53" s="13"/>
      <c r="Q53" s="13"/>
      <c r="R53" s="14"/>
      <c r="T53" s="13"/>
      <c r="U53" s="13"/>
      <c r="V53" s="14"/>
      <c r="X53" s="13" t="s">
        <v>92</v>
      </c>
      <c r="Y53" s="13" t="s">
        <v>2</v>
      </c>
      <c r="Z53" s="14">
        <v>20.213473294440099</v>
      </c>
    </row>
    <row r="54" spans="16:26" x14ac:dyDescent="0.25">
      <c r="P54" s="13"/>
      <c r="Q54" s="13"/>
      <c r="R54" s="14"/>
      <c r="T54" s="13"/>
      <c r="U54" s="13"/>
      <c r="V54" s="14"/>
      <c r="X54" s="13" t="s">
        <v>93</v>
      </c>
      <c r="Y54" s="13" t="s">
        <v>2</v>
      </c>
      <c r="Z54" s="14">
        <v>20.4418577337924</v>
      </c>
    </row>
    <row r="55" spans="16:26" x14ac:dyDescent="0.25">
      <c r="P55" s="13"/>
      <c r="Q55" s="13"/>
      <c r="R55" s="14"/>
      <c r="T55" s="13"/>
      <c r="U55" s="13"/>
      <c r="V55" s="14"/>
      <c r="X55" s="13" t="s">
        <v>65</v>
      </c>
      <c r="Y55" s="13" t="s">
        <v>2</v>
      </c>
      <c r="Z55" s="14">
        <v>21.647783486314101</v>
      </c>
    </row>
    <row r="56" spans="16:26" x14ac:dyDescent="0.25">
      <c r="P56" s="13"/>
      <c r="Q56" s="13"/>
      <c r="R56" s="14"/>
      <c r="T56" s="13"/>
      <c r="U56" s="13"/>
      <c r="V56" s="14"/>
      <c r="X56" s="13" t="s">
        <v>34</v>
      </c>
      <c r="Y56" s="13" t="s">
        <v>2</v>
      </c>
      <c r="Z56" s="14">
        <v>21.4258662024248</v>
      </c>
    </row>
    <row r="57" spans="16:26" x14ac:dyDescent="0.25">
      <c r="P57" s="13"/>
      <c r="Q57" s="13"/>
      <c r="R57" s="14"/>
      <c r="T57" s="13"/>
      <c r="U57" s="13"/>
      <c r="V57" s="14"/>
      <c r="X57" s="13" t="s">
        <v>35</v>
      </c>
      <c r="Y57" s="13" t="s">
        <v>2</v>
      </c>
      <c r="Z57" s="14">
        <v>20.916630938197201</v>
      </c>
    </row>
    <row r="58" spans="16:26" x14ac:dyDescent="0.25">
      <c r="P58" s="13"/>
      <c r="Q58" s="13"/>
      <c r="R58" s="14"/>
      <c r="T58" s="13"/>
      <c r="U58" s="13"/>
      <c r="V58" s="14"/>
      <c r="X58" s="13" t="s">
        <v>36</v>
      </c>
      <c r="Y58" s="13" t="s">
        <v>2</v>
      </c>
      <c r="Z58" s="14">
        <v>20.680398081630301</v>
      </c>
    </row>
    <row r="59" spans="16:26" x14ac:dyDescent="0.25">
      <c r="P59" s="13"/>
      <c r="Q59" s="13"/>
      <c r="R59" s="14"/>
      <c r="T59" s="13"/>
      <c r="U59" s="13"/>
      <c r="V59" s="14"/>
      <c r="X59" s="13" t="s">
        <v>78</v>
      </c>
      <c r="Y59" s="13" t="s">
        <v>2</v>
      </c>
      <c r="Z59" s="14">
        <v>20.3144228312831</v>
      </c>
    </row>
    <row r="60" spans="16:26" x14ac:dyDescent="0.25">
      <c r="P60" s="13"/>
      <c r="Q60" s="13"/>
      <c r="R60" s="14"/>
      <c r="T60" s="13"/>
      <c r="U60" s="13"/>
      <c r="V60" s="14"/>
      <c r="X60" s="13" t="s">
        <v>66</v>
      </c>
      <c r="Y60" s="13" t="s">
        <v>2</v>
      </c>
      <c r="Z60" s="14">
        <v>20.271199936376799</v>
      </c>
    </row>
    <row r="61" spans="16:26" x14ac:dyDescent="0.25">
      <c r="P61" s="13"/>
      <c r="Q61" s="13"/>
      <c r="R61" s="14"/>
      <c r="T61" s="13"/>
      <c r="U61" s="13"/>
      <c r="V61" s="14"/>
      <c r="X61" s="13" t="s">
        <v>91</v>
      </c>
      <c r="Y61" s="13" t="s">
        <v>2</v>
      </c>
      <c r="Z61" s="14">
        <v>21.9253783066926</v>
      </c>
    </row>
    <row r="62" spans="16:26" x14ac:dyDescent="0.25">
      <c r="P62" s="13"/>
      <c r="Q62" s="13"/>
      <c r="R62" s="14"/>
      <c r="T62" s="13"/>
      <c r="U62" s="13"/>
      <c r="V62" s="14"/>
      <c r="X62" s="13" t="s">
        <v>46</v>
      </c>
      <c r="Y62" s="13" t="s">
        <v>2</v>
      </c>
      <c r="Z62" s="14">
        <v>21.1485925596572</v>
      </c>
    </row>
    <row r="63" spans="16:26" x14ac:dyDescent="0.25">
      <c r="P63" s="13"/>
      <c r="Q63" s="13"/>
      <c r="R63" s="14"/>
      <c r="T63" s="13"/>
      <c r="U63" s="13"/>
      <c r="V63" s="14"/>
      <c r="X63" s="13" t="s">
        <v>47</v>
      </c>
      <c r="Y63" s="13" t="s">
        <v>2</v>
      </c>
      <c r="Z63" s="14">
        <v>20.379555880784999</v>
      </c>
    </row>
    <row r="64" spans="16:26" x14ac:dyDescent="0.25">
      <c r="P64" s="13"/>
      <c r="Q64" s="13"/>
      <c r="R64" s="14"/>
      <c r="T64" s="13"/>
      <c r="U64" s="13"/>
      <c r="V64" s="14"/>
      <c r="X64" s="13" t="s">
        <v>48</v>
      </c>
      <c r="Y64" s="13" t="s">
        <v>2</v>
      </c>
      <c r="Z64" s="14">
        <v>20.341303530523501</v>
      </c>
    </row>
    <row r="65" spans="16:26" x14ac:dyDescent="0.25">
      <c r="P65" s="13"/>
      <c r="Q65" s="13"/>
      <c r="R65" s="14"/>
      <c r="T65" s="13"/>
      <c r="U65" s="13"/>
      <c r="V65" s="14"/>
      <c r="X65" s="13" t="s">
        <v>92</v>
      </c>
      <c r="Y65" s="13" t="s">
        <v>2</v>
      </c>
      <c r="Z65" s="14">
        <v>20.328191314604599</v>
      </c>
    </row>
    <row r="66" spans="16:26" x14ac:dyDescent="0.25">
      <c r="P66" s="13"/>
      <c r="Q66" s="13"/>
      <c r="R66" s="14"/>
      <c r="T66" s="13"/>
      <c r="U66" s="13"/>
      <c r="V66" s="14"/>
      <c r="X66" s="13" t="s">
        <v>93</v>
      </c>
      <c r="Y66" s="13" t="s">
        <v>2</v>
      </c>
      <c r="Z66" s="14">
        <v>20.581624864952801</v>
      </c>
    </row>
    <row r="67" spans="16:26" x14ac:dyDescent="0.25">
      <c r="P67" s="13"/>
      <c r="Q67" s="13"/>
      <c r="R67" s="14"/>
      <c r="T67" s="13"/>
      <c r="U67" s="13"/>
      <c r="V67" s="14"/>
      <c r="X67" s="13" t="s">
        <v>65</v>
      </c>
      <c r="Y67" s="13" t="s">
        <v>2</v>
      </c>
      <c r="Z67" s="14">
        <v>21.773238932986899</v>
      </c>
    </row>
    <row r="68" spans="16:26" x14ac:dyDescent="0.25">
      <c r="P68" s="13"/>
      <c r="Q68" s="13"/>
      <c r="R68" s="14"/>
      <c r="T68" s="13"/>
      <c r="U68" s="13"/>
      <c r="V68" s="14"/>
      <c r="X68" s="13" t="s">
        <v>34</v>
      </c>
      <c r="Y68" s="13" t="s">
        <v>2</v>
      </c>
      <c r="Z68" s="14">
        <v>21.458955180177799</v>
      </c>
    </row>
    <row r="69" spans="16:26" x14ac:dyDescent="0.25">
      <c r="P69" s="13"/>
      <c r="Q69" s="13"/>
      <c r="R69" s="14"/>
      <c r="T69" s="13"/>
      <c r="U69" s="13"/>
      <c r="V69" s="14"/>
      <c r="X69" s="13" t="s">
        <v>35</v>
      </c>
      <c r="Y69" s="13" t="s">
        <v>2</v>
      </c>
      <c r="Z69" s="14">
        <v>21.040739525745298</v>
      </c>
    </row>
    <row r="70" spans="16:26" x14ac:dyDescent="0.25">
      <c r="P70" s="13"/>
      <c r="Q70" s="13"/>
      <c r="R70" s="14"/>
      <c r="T70" s="13"/>
      <c r="U70" s="13"/>
      <c r="V70" s="14"/>
      <c r="X70" s="13" t="s">
        <v>36</v>
      </c>
      <c r="Y70" s="13" t="s">
        <v>2</v>
      </c>
      <c r="Z70" s="14">
        <v>20.7991358486019</v>
      </c>
    </row>
    <row r="71" spans="16:26" x14ac:dyDescent="0.25">
      <c r="P71" s="13"/>
      <c r="Q71" s="13"/>
      <c r="R71" s="14"/>
      <c r="T71" s="13"/>
      <c r="U71" s="13"/>
      <c r="V71" s="14"/>
      <c r="X71" s="13" t="s">
        <v>78</v>
      </c>
      <c r="Y71" s="13" t="s">
        <v>2</v>
      </c>
      <c r="Z71" s="14">
        <v>20.422208886399002</v>
      </c>
    </row>
    <row r="72" spans="16:26" x14ac:dyDescent="0.25">
      <c r="P72" s="13"/>
      <c r="Q72" s="13"/>
      <c r="R72" s="14"/>
      <c r="T72" s="13"/>
      <c r="U72" s="13"/>
      <c r="V72" s="14"/>
      <c r="X72" s="13" t="s">
        <v>66</v>
      </c>
      <c r="Y72" s="13" t="s">
        <v>2</v>
      </c>
      <c r="Z72" s="14">
        <v>20.363843395412701</v>
      </c>
    </row>
    <row r="73" spans="16:26" x14ac:dyDescent="0.25">
      <c r="P73" s="13"/>
      <c r="Q73" s="13"/>
      <c r="R73" s="14"/>
      <c r="T73" s="13"/>
      <c r="U73" s="13"/>
      <c r="V73" s="14"/>
      <c r="X73" s="13" t="s">
        <v>2</v>
      </c>
      <c r="Y73" s="13" t="s">
        <v>2</v>
      </c>
      <c r="Z73" s="14"/>
    </row>
    <row r="74" spans="16:26" x14ac:dyDescent="0.25">
      <c r="P74" s="13"/>
      <c r="Q74" s="13"/>
      <c r="R74" s="14"/>
      <c r="T74" s="13"/>
      <c r="U74" s="13"/>
      <c r="V74" s="14"/>
      <c r="X74" s="13" t="s">
        <v>2</v>
      </c>
      <c r="Y74" s="13" t="s">
        <v>2</v>
      </c>
      <c r="Z74" s="14"/>
    </row>
    <row r="75" spans="16:26" x14ac:dyDescent="0.25">
      <c r="P75" s="15"/>
      <c r="Q75" s="13"/>
      <c r="R75" s="14"/>
      <c r="T75" s="13"/>
      <c r="U75" s="13"/>
      <c r="V75" s="14"/>
      <c r="X75" s="13" t="s">
        <v>2</v>
      </c>
      <c r="Y75" s="13" t="s">
        <v>2</v>
      </c>
      <c r="Z75" s="14"/>
    </row>
    <row r="76" spans="16:26" x14ac:dyDescent="0.25">
      <c r="P76" s="15"/>
      <c r="Q76" s="13"/>
      <c r="R76" s="14"/>
      <c r="T76" s="15"/>
      <c r="U76" s="13"/>
      <c r="V76" s="14"/>
      <c r="X76" s="15" t="s">
        <v>94</v>
      </c>
      <c r="Y76" s="13" t="s">
        <v>2</v>
      </c>
      <c r="Z76" s="14">
        <v>21.562359319200901</v>
      </c>
    </row>
    <row r="77" spans="16:26" x14ac:dyDescent="0.25">
      <c r="P77" s="15"/>
      <c r="Q77" s="13"/>
      <c r="R77" s="14"/>
      <c r="T77" s="15"/>
      <c r="U77" s="13"/>
      <c r="V77" s="14"/>
      <c r="X77" s="15" t="s">
        <v>95</v>
      </c>
      <c r="Y77" s="13" t="s">
        <v>2</v>
      </c>
      <c r="Z77" s="14">
        <v>16.027703966389598</v>
      </c>
    </row>
    <row r="78" spans="16:26" x14ac:dyDescent="0.25">
      <c r="P78" s="15"/>
      <c r="Q78" s="13"/>
      <c r="R78" s="14"/>
      <c r="T78" s="15"/>
      <c r="U78" s="13"/>
      <c r="V78" s="14"/>
      <c r="X78" s="15" t="s">
        <v>96</v>
      </c>
      <c r="Y78" s="13" t="s">
        <v>2</v>
      </c>
      <c r="Z78" s="14">
        <v>21.710341585226502</v>
      </c>
    </row>
    <row r="79" spans="16:26" x14ac:dyDescent="0.25">
      <c r="P79" s="15"/>
      <c r="Q79" s="13"/>
      <c r="R79" s="14"/>
      <c r="T79" s="15"/>
      <c r="U79" s="13"/>
      <c r="V79" s="14"/>
    </row>
    <row r="80" spans="16:26" x14ac:dyDescent="0.25">
      <c r="P80" s="15"/>
      <c r="Q80" s="13"/>
      <c r="R80" s="14"/>
      <c r="T80" s="15"/>
      <c r="U80" s="13"/>
      <c r="V80" s="14"/>
    </row>
    <row r="81" spans="16:22" x14ac:dyDescent="0.25">
      <c r="P81" s="15"/>
      <c r="Q81" s="13"/>
      <c r="R81" s="14"/>
      <c r="T81" s="15"/>
      <c r="U81" s="13"/>
      <c r="V81" s="14"/>
    </row>
    <row r="82" spans="16:22" x14ac:dyDescent="0.25">
      <c r="P82" s="15"/>
      <c r="Q82" s="13"/>
      <c r="R82" s="14"/>
      <c r="T82" s="13" t="s">
        <v>2</v>
      </c>
      <c r="U82" s="13" t="s">
        <v>2</v>
      </c>
      <c r="V82" s="14"/>
    </row>
    <row r="83" spans="16:22" x14ac:dyDescent="0.25">
      <c r="P83" s="13" t="s">
        <v>2</v>
      </c>
      <c r="Q83" s="13" t="s">
        <v>2</v>
      </c>
      <c r="R83" s="14"/>
      <c r="T83" s="13" t="s">
        <v>2</v>
      </c>
      <c r="U83" s="13" t="s">
        <v>2</v>
      </c>
      <c r="V83" s="14"/>
    </row>
    <row r="84" spans="16:22" x14ac:dyDescent="0.25">
      <c r="P84" s="13" t="s">
        <v>2</v>
      </c>
      <c r="Q84" s="13" t="s">
        <v>2</v>
      </c>
      <c r="R84" s="14"/>
      <c r="T84" s="13" t="s">
        <v>2</v>
      </c>
      <c r="U84" s="13" t="s">
        <v>2</v>
      </c>
      <c r="V84" s="14"/>
    </row>
    <row r="85" spans="16:22" x14ac:dyDescent="0.25">
      <c r="P85" s="13" t="s">
        <v>2</v>
      </c>
      <c r="Q85" s="13" t="s">
        <v>2</v>
      </c>
      <c r="R85" s="14"/>
      <c r="T85" s="13" t="s">
        <v>2</v>
      </c>
      <c r="U85" s="13" t="s">
        <v>2</v>
      </c>
      <c r="V85" s="14"/>
    </row>
    <row r="86" spans="16:22" x14ac:dyDescent="0.25">
      <c r="P86" s="13" t="s">
        <v>2</v>
      </c>
      <c r="Q86" s="13" t="s">
        <v>2</v>
      </c>
      <c r="R86" s="14"/>
      <c r="T86" s="13" t="s">
        <v>2</v>
      </c>
      <c r="U86" s="13" t="s">
        <v>2</v>
      </c>
      <c r="V86" s="14"/>
    </row>
    <row r="87" spans="16:22" x14ac:dyDescent="0.25">
      <c r="P87" s="13" t="s">
        <v>2</v>
      </c>
      <c r="Q87" s="13" t="s">
        <v>2</v>
      </c>
      <c r="R87" s="14"/>
      <c r="T87" s="13" t="s">
        <v>2</v>
      </c>
      <c r="U87" s="13" t="s">
        <v>2</v>
      </c>
      <c r="V87" s="14"/>
    </row>
    <row r="88" spans="16:22" x14ac:dyDescent="0.25">
      <c r="P88" s="13" t="s">
        <v>2</v>
      </c>
      <c r="Q88" s="13" t="s">
        <v>2</v>
      </c>
      <c r="R88" s="14"/>
      <c r="T88" s="13" t="s">
        <v>2</v>
      </c>
      <c r="U88" s="13" t="s">
        <v>2</v>
      </c>
      <c r="V88" s="14"/>
    </row>
    <row r="89" spans="16:22" x14ac:dyDescent="0.25">
      <c r="P89" s="13" t="s">
        <v>2</v>
      </c>
      <c r="Q89" s="13" t="s">
        <v>2</v>
      </c>
      <c r="R89" s="14"/>
      <c r="T89" s="13" t="s">
        <v>2</v>
      </c>
      <c r="U89" s="13" t="s">
        <v>2</v>
      </c>
      <c r="V89" s="14"/>
    </row>
    <row r="90" spans="16:22" x14ac:dyDescent="0.25">
      <c r="P90" s="13" t="s">
        <v>2</v>
      </c>
      <c r="Q90" s="13" t="s">
        <v>2</v>
      </c>
      <c r="R90" s="14"/>
      <c r="T90" s="13" t="s">
        <v>2</v>
      </c>
      <c r="U90" s="13" t="s">
        <v>2</v>
      </c>
      <c r="V90" s="14"/>
    </row>
    <row r="91" spans="16:22" x14ac:dyDescent="0.25">
      <c r="P91" s="13" t="s">
        <v>2</v>
      </c>
      <c r="Q91" s="13" t="s">
        <v>2</v>
      </c>
      <c r="R91" s="14"/>
      <c r="T91" s="13" t="s">
        <v>2</v>
      </c>
      <c r="U91" s="13" t="s">
        <v>2</v>
      </c>
      <c r="V91" s="14"/>
    </row>
    <row r="92" spans="16:22" x14ac:dyDescent="0.25">
      <c r="P92" s="13" t="s">
        <v>2</v>
      </c>
      <c r="Q92" s="13" t="s">
        <v>2</v>
      </c>
      <c r="R92" s="14"/>
      <c r="T92" s="13" t="s">
        <v>2</v>
      </c>
      <c r="U92" s="13" t="s">
        <v>2</v>
      </c>
      <c r="V92" s="14"/>
    </row>
    <row r="93" spans="16:22" x14ac:dyDescent="0.25">
      <c r="P93" s="13" t="s">
        <v>2</v>
      </c>
      <c r="Q93" s="13" t="s">
        <v>2</v>
      </c>
      <c r="R93" s="14"/>
      <c r="T93" s="13" t="s">
        <v>2</v>
      </c>
      <c r="U93" s="13" t="s">
        <v>2</v>
      </c>
      <c r="V93" s="14"/>
    </row>
    <row r="94" spans="16:22" x14ac:dyDescent="0.25">
      <c r="P94" s="13" t="s">
        <v>2</v>
      </c>
      <c r="Q94" s="13" t="s">
        <v>2</v>
      </c>
      <c r="R94" s="14"/>
      <c r="T94" s="13" t="s">
        <v>2</v>
      </c>
      <c r="U94" s="13" t="s">
        <v>2</v>
      </c>
      <c r="V94" s="14"/>
    </row>
    <row r="95" spans="16:22" x14ac:dyDescent="0.25">
      <c r="P95" s="13" t="s">
        <v>2</v>
      </c>
      <c r="Q95" s="13" t="s">
        <v>2</v>
      </c>
      <c r="R95" s="14"/>
      <c r="T95" s="13" t="s">
        <v>2</v>
      </c>
      <c r="U95" s="13" t="s">
        <v>2</v>
      </c>
      <c r="V95" s="14"/>
    </row>
    <row r="96" spans="16:22" x14ac:dyDescent="0.25">
      <c r="P96" s="13" t="s">
        <v>2</v>
      </c>
      <c r="Q96" s="13" t="s">
        <v>2</v>
      </c>
      <c r="R96" s="14"/>
      <c r="T96" s="13" t="s">
        <v>2</v>
      </c>
      <c r="U96" s="13" t="s">
        <v>2</v>
      </c>
      <c r="V96" s="14"/>
    </row>
  </sheetData>
  <mergeCells count="4">
    <mergeCell ref="A1:G1"/>
    <mergeCell ref="H1:N1"/>
    <mergeCell ref="A19:G19"/>
    <mergeCell ref="H19:N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A84D-D4D1-41E9-898A-AD250856D85E}">
  <dimension ref="A1:AD80"/>
  <sheetViews>
    <sheetView topLeftCell="A9" zoomScale="60" zoomScaleNormal="60" workbookViewId="0">
      <selection activeCell="I21" sqref="I21:N25"/>
    </sheetView>
  </sheetViews>
  <sheetFormatPr defaultColWidth="8.85546875" defaultRowHeight="15" x14ac:dyDescent="0.25"/>
  <cols>
    <col min="1" max="1" width="9.42578125" customWidth="1"/>
    <col min="8" max="8" width="9.42578125" customWidth="1"/>
  </cols>
  <sheetData>
    <row r="1" spans="1:30" x14ac:dyDescent="0.25">
      <c r="A1" s="50" t="s">
        <v>0</v>
      </c>
      <c r="B1" s="50"/>
      <c r="C1" s="50"/>
      <c r="D1" s="50"/>
      <c r="E1" s="50"/>
      <c r="F1" s="50"/>
      <c r="G1" s="51"/>
      <c r="H1" s="49" t="s">
        <v>1</v>
      </c>
      <c r="I1" s="50"/>
      <c r="J1" s="50"/>
      <c r="K1" s="50"/>
      <c r="L1" s="50"/>
      <c r="M1" s="50"/>
      <c r="N1" s="51"/>
      <c r="P1" s="13" t="s">
        <v>91</v>
      </c>
      <c r="Q1" s="13" t="s">
        <v>2</v>
      </c>
      <c r="R1" s="14">
        <v>16.458600082297799</v>
      </c>
      <c r="T1" s="15" t="s">
        <v>67</v>
      </c>
      <c r="U1" s="13" t="s">
        <v>2</v>
      </c>
      <c r="V1" s="14">
        <v>16.1271470429554</v>
      </c>
      <c r="X1" s="15" t="s">
        <v>69</v>
      </c>
      <c r="Y1" s="13" t="s">
        <v>2</v>
      </c>
      <c r="Z1" s="14">
        <v>16.3461969242191</v>
      </c>
      <c r="AB1" s="13" t="s">
        <v>69</v>
      </c>
      <c r="AC1" s="13" t="s">
        <v>2</v>
      </c>
      <c r="AD1" s="14">
        <v>20.904986224868601</v>
      </c>
    </row>
    <row r="2" spans="1:30" x14ac:dyDescent="0.25">
      <c r="A2" t="s">
        <v>110</v>
      </c>
      <c r="B2">
        <v>0</v>
      </c>
      <c r="C2">
        <v>10</v>
      </c>
      <c r="D2">
        <v>20</v>
      </c>
      <c r="E2" s="18">
        <v>30</v>
      </c>
      <c r="F2">
        <v>60</v>
      </c>
      <c r="G2" s="1">
        <v>90</v>
      </c>
      <c r="H2" t="s">
        <v>110</v>
      </c>
      <c r="I2">
        <v>0</v>
      </c>
      <c r="J2">
        <v>10</v>
      </c>
      <c r="K2">
        <v>20</v>
      </c>
      <c r="L2" s="18">
        <v>30</v>
      </c>
      <c r="M2">
        <v>60</v>
      </c>
      <c r="N2" s="1">
        <v>90</v>
      </c>
      <c r="P2" s="13" t="s">
        <v>46</v>
      </c>
      <c r="Q2" s="13" t="s">
        <v>2</v>
      </c>
      <c r="R2" s="14">
        <v>16.9573908601356</v>
      </c>
      <c r="T2" s="13" t="s">
        <v>37</v>
      </c>
      <c r="U2" s="13" t="s">
        <v>2</v>
      </c>
      <c r="V2" s="14">
        <v>16.672723714957801</v>
      </c>
      <c r="X2" s="13" t="s">
        <v>43</v>
      </c>
      <c r="Y2" s="13" t="s">
        <v>2</v>
      </c>
      <c r="Z2" s="14">
        <v>18.042029039479999</v>
      </c>
      <c r="AB2" s="13" t="s">
        <v>43</v>
      </c>
      <c r="AC2" s="13" t="s">
        <v>2</v>
      </c>
      <c r="AD2" s="14">
        <v>21.968145209497798</v>
      </c>
    </row>
    <row r="3" spans="1:30" x14ac:dyDescent="0.25">
      <c r="A3" t="s">
        <v>49</v>
      </c>
      <c r="B3" s="14">
        <v>21.875609675079101</v>
      </c>
      <c r="C3" s="14">
        <v>21.5418960566106</v>
      </c>
      <c r="D3" s="14">
        <v>21.1301706380445</v>
      </c>
      <c r="E3" s="14">
        <v>20.850684321440301</v>
      </c>
      <c r="F3" s="14">
        <v>20.557300893028501</v>
      </c>
      <c r="G3" s="14">
        <v>20.0729559305043</v>
      </c>
      <c r="H3" s="8" t="s">
        <v>49</v>
      </c>
      <c r="I3" s="14">
        <v>16.7008626537413</v>
      </c>
      <c r="J3" s="14">
        <v>15.782769849929</v>
      </c>
      <c r="K3" s="14">
        <v>16.134249734350998</v>
      </c>
      <c r="L3" s="14">
        <v>16.3764745687028</v>
      </c>
      <c r="M3" s="14">
        <v>16.369296504012301</v>
      </c>
      <c r="N3" s="17">
        <v>16.285341871695</v>
      </c>
      <c r="P3" s="13" t="s">
        <v>47</v>
      </c>
      <c r="Q3" s="13" t="s">
        <v>2</v>
      </c>
      <c r="R3" s="14">
        <v>15.754713201053599</v>
      </c>
      <c r="T3" s="13" t="s">
        <v>38</v>
      </c>
      <c r="U3" s="13" t="s">
        <v>2</v>
      </c>
      <c r="V3" s="14">
        <v>15.7173621105807</v>
      </c>
      <c r="X3" s="13" t="s">
        <v>44</v>
      </c>
      <c r="Y3" s="13" t="s">
        <v>2</v>
      </c>
      <c r="Z3" s="14">
        <v>16.680435868711701</v>
      </c>
      <c r="AB3" s="13" t="s">
        <v>44</v>
      </c>
      <c r="AC3" s="13" t="s">
        <v>2</v>
      </c>
      <c r="AD3" s="14">
        <v>20.669970977768301</v>
      </c>
    </row>
    <row r="4" spans="1:30" x14ac:dyDescent="0.25">
      <c r="A4" t="s">
        <v>50</v>
      </c>
      <c r="B4" s="14">
        <v>21.647783486314101</v>
      </c>
      <c r="C4" s="14">
        <v>21.4258662024248</v>
      </c>
      <c r="D4" s="14">
        <v>20.916630938197201</v>
      </c>
      <c r="E4" s="14">
        <v>20.680398081630301</v>
      </c>
      <c r="F4" s="14">
        <v>20.3144228312831</v>
      </c>
      <c r="G4" s="14">
        <v>20.271199936376799</v>
      </c>
      <c r="H4" s="8" t="s">
        <v>50</v>
      </c>
      <c r="I4" s="14">
        <v>16.8714274523123</v>
      </c>
      <c r="J4" s="14">
        <v>15.799096477852601</v>
      </c>
      <c r="K4" s="14">
        <v>16.168048834045798</v>
      </c>
      <c r="L4" s="14">
        <v>16.795962026392701</v>
      </c>
      <c r="M4" s="14">
        <v>16.328026503632302</v>
      </c>
      <c r="N4" s="17">
        <v>16.619153416621</v>
      </c>
      <c r="P4" s="13" t="s">
        <v>48</v>
      </c>
      <c r="Q4" s="13" t="s">
        <v>2</v>
      </c>
      <c r="R4" s="14">
        <v>16.3271574844246</v>
      </c>
      <c r="T4" s="13" t="s">
        <v>39</v>
      </c>
      <c r="U4" s="13" t="s">
        <v>2</v>
      </c>
      <c r="V4" s="14">
        <v>16.157973155589001</v>
      </c>
      <c r="X4" s="13" t="s">
        <v>45</v>
      </c>
      <c r="Y4" s="13" t="s">
        <v>2</v>
      </c>
      <c r="Z4" s="14">
        <v>17.397665569582198</v>
      </c>
      <c r="AB4" s="13" t="s">
        <v>45</v>
      </c>
      <c r="AC4" s="13" t="s">
        <v>2</v>
      </c>
      <c r="AD4" s="14">
        <v>20.253500126946602</v>
      </c>
    </row>
    <row r="5" spans="1:30" x14ac:dyDescent="0.25">
      <c r="A5" t="s">
        <v>51</v>
      </c>
      <c r="B5" s="14">
        <v>21.773238932986899</v>
      </c>
      <c r="C5" s="14">
        <v>21.458955180177799</v>
      </c>
      <c r="D5" s="14">
        <v>21.040739525745298</v>
      </c>
      <c r="E5" s="14">
        <v>20.7991358486019</v>
      </c>
      <c r="F5" s="14">
        <v>20.422208886399002</v>
      </c>
      <c r="G5" s="14">
        <v>20.363843395412701</v>
      </c>
      <c r="H5" s="8" t="s">
        <v>51</v>
      </c>
      <c r="I5" s="14">
        <v>16.7730389229148</v>
      </c>
      <c r="J5" s="14">
        <v>16.064671299234</v>
      </c>
      <c r="K5" s="14">
        <v>16.303529161535899</v>
      </c>
      <c r="L5" s="14">
        <v>16.3775529776665</v>
      </c>
      <c r="M5" s="14">
        <v>16.373657907209399</v>
      </c>
      <c r="N5" s="17">
        <v>16.543641334396401</v>
      </c>
      <c r="P5" s="13" t="s">
        <v>92</v>
      </c>
      <c r="Q5" s="13" t="s">
        <v>2</v>
      </c>
      <c r="R5" s="14">
        <v>17.068509503167999</v>
      </c>
      <c r="T5" s="13" t="s">
        <v>79</v>
      </c>
      <c r="U5" s="13" t="s">
        <v>2</v>
      </c>
      <c r="V5" s="14">
        <v>15.688637573273899</v>
      </c>
      <c r="X5" s="13" t="s">
        <v>81</v>
      </c>
      <c r="Y5" s="13" t="s">
        <v>2</v>
      </c>
      <c r="Z5" s="14">
        <v>17.044259668610099</v>
      </c>
      <c r="AB5" s="13" t="s">
        <v>81</v>
      </c>
      <c r="AC5" s="13" t="s">
        <v>2</v>
      </c>
      <c r="AD5" s="14">
        <v>20.363067173810201</v>
      </c>
    </row>
    <row r="6" spans="1:30" x14ac:dyDescent="0.25">
      <c r="A6" t="s">
        <v>52</v>
      </c>
      <c r="B6" s="14">
        <v>24.6611386649599</v>
      </c>
      <c r="C6" s="14">
        <v>24.288191942618099</v>
      </c>
      <c r="D6" s="14">
        <v>24.225918939662499</v>
      </c>
      <c r="E6" s="14">
        <v>23.8122166689887</v>
      </c>
      <c r="F6" s="14">
        <v>23.124356304039701</v>
      </c>
      <c r="G6" s="14">
        <v>22.2368981190121</v>
      </c>
      <c r="H6" s="8" t="s">
        <v>52</v>
      </c>
      <c r="I6" s="14">
        <v>16.1271470429554</v>
      </c>
      <c r="J6" s="14">
        <v>16.672723714957801</v>
      </c>
      <c r="K6" s="14">
        <v>15.7173621105807</v>
      </c>
      <c r="L6" s="14">
        <v>16.157973155589001</v>
      </c>
      <c r="M6" s="14">
        <v>15.688637573273899</v>
      </c>
      <c r="N6" s="17">
        <v>15.9806430765546</v>
      </c>
      <c r="P6" s="13" t="s">
        <v>93</v>
      </c>
      <c r="Q6" s="13" t="s">
        <v>2</v>
      </c>
      <c r="R6" s="14">
        <v>17.668195225709798</v>
      </c>
      <c r="T6" s="13" t="s">
        <v>82</v>
      </c>
      <c r="U6" s="13" t="s">
        <v>2</v>
      </c>
      <c r="V6" s="14">
        <v>15.9806430765546</v>
      </c>
      <c r="X6" s="13" t="s">
        <v>84</v>
      </c>
      <c r="Y6" s="13" t="s">
        <v>2</v>
      </c>
      <c r="Z6" s="14">
        <v>17.0732570560669</v>
      </c>
      <c r="AB6" s="13" t="s">
        <v>84</v>
      </c>
      <c r="AC6" s="13" t="s">
        <v>2</v>
      </c>
      <c r="AD6" s="14">
        <v>19.860125912209099</v>
      </c>
    </row>
    <row r="7" spans="1:30" x14ac:dyDescent="0.25">
      <c r="A7" t="s">
        <v>53</v>
      </c>
      <c r="B7" s="14">
        <v>24.590709923071</v>
      </c>
      <c r="C7" s="14">
        <v>24.015271205403</v>
      </c>
      <c r="D7" s="14">
        <v>23.9291839288875</v>
      </c>
      <c r="E7" s="14">
        <v>23.5223941399727</v>
      </c>
      <c r="F7" s="14">
        <v>22.902354363984799</v>
      </c>
      <c r="G7" s="14">
        <v>22.052923462616899</v>
      </c>
      <c r="H7" s="8" t="s">
        <v>53</v>
      </c>
      <c r="I7" s="14">
        <v>16.236264393804699</v>
      </c>
      <c r="J7" s="14">
        <v>16.436311132172801</v>
      </c>
      <c r="K7" s="14">
        <v>16.101466455466301</v>
      </c>
      <c r="L7" s="14">
        <v>16.355881173653199</v>
      </c>
      <c r="M7" s="14">
        <v>16.027821032785301</v>
      </c>
      <c r="N7" s="17">
        <v>16.1153061479272</v>
      </c>
      <c r="P7" s="13" t="s">
        <v>65</v>
      </c>
      <c r="Q7" s="13" t="s">
        <v>2</v>
      </c>
      <c r="R7" s="14">
        <v>16.7008626537413</v>
      </c>
      <c r="T7" s="13" t="s">
        <v>68</v>
      </c>
      <c r="U7" s="13" t="s">
        <v>2</v>
      </c>
      <c r="V7" s="14">
        <v>15.5971327143689</v>
      </c>
      <c r="X7" s="13" t="s">
        <v>91</v>
      </c>
      <c r="Y7" s="13" t="s">
        <v>2</v>
      </c>
      <c r="Z7" s="14">
        <v>16.479646883235301</v>
      </c>
      <c r="AB7" s="13" t="s">
        <v>91</v>
      </c>
      <c r="AC7" s="13" t="s">
        <v>2</v>
      </c>
      <c r="AD7" s="14">
        <v>22.470626390673001</v>
      </c>
    </row>
    <row r="8" spans="1:30" x14ac:dyDescent="0.25">
      <c r="A8" t="s">
        <v>54</v>
      </c>
      <c r="B8" s="14">
        <v>25.4089833084711</v>
      </c>
      <c r="C8" s="14">
        <v>24.175739882959899</v>
      </c>
      <c r="D8" s="14">
        <v>24.0452067970907</v>
      </c>
      <c r="E8" s="14">
        <v>23.674942963432699</v>
      </c>
      <c r="F8" s="14">
        <v>23.007180359552599</v>
      </c>
      <c r="G8" s="14">
        <v>22.1889813274374</v>
      </c>
      <c r="H8" s="8" t="s">
        <v>54</v>
      </c>
      <c r="I8" s="14">
        <v>16.139630069706399</v>
      </c>
      <c r="J8" s="14">
        <v>16.378008975094598</v>
      </c>
      <c r="K8" s="14">
        <v>16.0144131538129</v>
      </c>
      <c r="L8" s="14">
        <v>16.176850250624</v>
      </c>
      <c r="M8" s="14">
        <v>15.8907320651807</v>
      </c>
      <c r="N8" s="17">
        <v>16.095067128762</v>
      </c>
      <c r="P8" s="13" t="s">
        <v>34</v>
      </c>
      <c r="Q8" s="13" t="s">
        <v>2</v>
      </c>
      <c r="R8" s="14">
        <v>15.782769849929</v>
      </c>
      <c r="T8" s="13" t="s">
        <v>40</v>
      </c>
      <c r="U8" s="13" t="s">
        <v>2</v>
      </c>
      <c r="V8" s="14">
        <v>15.168228003065501</v>
      </c>
      <c r="X8" s="13" t="s">
        <v>46</v>
      </c>
      <c r="Y8" s="13" t="s">
        <v>2</v>
      </c>
      <c r="Z8" s="14">
        <v>16.138533275905999</v>
      </c>
      <c r="AB8" s="13" t="s">
        <v>46</v>
      </c>
      <c r="AC8" s="13" t="s">
        <v>2</v>
      </c>
      <c r="AD8" s="14">
        <v>21.573116644469799</v>
      </c>
    </row>
    <row r="9" spans="1:30" x14ac:dyDescent="0.25">
      <c r="A9" t="s">
        <v>55</v>
      </c>
      <c r="B9" s="14">
        <v>22.110282582351701</v>
      </c>
      <c r="C9" s="14">
        <v>21.3432616577382</v>
      </c>
      <c r="D9" s="14">
        <v>21.500729232701602</v>
      </c>
      <c r="E9" s="14">
        <v>21.0812475004054</v>
      </c>
      <c r="F9" s="14">
        <v>20.475051220395201</v>
      </c>
      <c r="G9" s="14">
        <v>20.0626107891703</v>
      </c>
      <c r="H9" s="8" t="s">
        <v>55</v>
      </c>
      <c r="I9" s="14">
        <v>15.5971327143689</v>
      </c>
      <c r="J9" s="14">
        <v>15.168228003065501</v>
      </c>
      <c r="K9" s="14">
        <v>16.503639474697199</v>
      </c>
      <c r="L9" s="14">
        <v>16.003495333253898</v>
      </c>
      <c r="M9" s="14">
        <v>15.736866376322</v>
      </c>
      <c r="N9" s="17">
        <v>16.1188454354632</v>
      </c>
      <c r="P9" s="13" t="s">
        <v>35</v>
      </c>
      <c r="Q9" s="13" t="s">
        <v>2</v>
      </c>
      <c r="R9" s="14">
        <v>16.134249734350998</v>
      </c>
      <c r="T9" s="13" t="s">
        <v>41</v>
      </c>
      <c r="U9" s="13" t="s">
        <v>2</v>
      </c>
      <c r="V9" s="14">
        <v>16.503639474697199</v>
      </c>
      <c r="X9" s="13" t="s">
        <v>47</v>
      </c>
      <c r="Y9" s="13" t="s">
        <v>2</v>
      </c>
      <c r="Z9" s="14">
        <v>16.057605610550699</v>
      </c>
      <c r="AB9" s="13" t="s">
        <v>47</v>
      </c>
      <c r="AC9" s="13" t="s">
        <v>2</v>
      </c>
      <c r="AD9" s="14">
        <v>21.310108989043801</v>
      </c>
    </row>
    <row r="10" spans="1:30" x14ac:dyDescent="0.25">
      <c r="A10" t="s">
        <v>56</v>
      </c>
      <c r="B10" s="14">
        <v>21.8624229835949</v>
      </c>
      <c r="C10" s="14">
        <v>21.301053555566899</v>
      </c>
      <c r="D10" s="14">
        <v>21.296315382748102</v>
      </c>
      <c r="E10" s="14">
        <v>21.126436420798498</v>
      </c>
      <c r="F10" s="14">
        <v>20.324319524709399</v>
      </c>
      <c r="G10" s="14">
        <v>20.087059097950601</v>
      </c>
      <c r="H10" s="8" t="s">
        <v>56</v>
      </c>
      <c r="I10" s="14">
        <v>16.191053964249502</v>
      </c>
      <c r="J10" s="14">
        <v>15.3287174553772</v>
      </c>
      <c r="K10" s="14">
        <v>16.5296964885612</v>
      </c>
      <c r="L10" s="14">
        <v>15.964669411478299</v>
      </c>
      <c r="M10" s="14">
        <v>15.712106376989</v>
      </c>
      <c r="N10" s="17">
        <v>16.087198143904299</v>
      </c>
      <c r="P10" s="13" t="s">
        <v>36</v>
      </c>
      <c r="Q10" s="13" t="s">
        <v>2</v>
      </c>
      <c r="R10" s="14">
        <v>16.3764745687028</v>
      </c>
      <c r="T10" s="13" t="s">
        <v>42</v>
      </c>
      <c r="U10" s="13" t="s">
        <v>2</v>
      </c>
      <c r="V10" s="14">
        <v>16.003495333253898</v>
      </c>
      <c r="X10" s="13" t="s">
        <v>48</v>
      </c>
      <c r="Y10" s="13" t="s">
        <v>2</v>
      </c>
      <c r="Z10" s="14">
        <v>17.0096738860003</v>
      </c>
      <c r="AB10" s="13" t="s">
        <v>48</v>
      </c>
      <c r="AC10" s="13" t="s">
        <v>2</v>
      </c>
      <c r="AD10" s="14">
        <v>21.030088905264499</v>
      </c>
    </row>
    <row r="11" spans="1:30" x14ac:dyDescent="0.25">
      <c r="A11" t="s">
        <v>57</v>
      </c>
      <c r="B11" s="14">
        <v>21.880664153860899</v>
      </c>
      <c r="C11" s="14">
        <v>21.291756997042299</v>
      </c>
      <c r="D11" s="14">
        <v>21.403616624440499</v>
      </c>
      <c r="E11" s="14">
        <v>21.0416668356084</v>
      </c>
      <c r="F11" s="14">
        <v>20.410627863987902</v>
      </c>
      <c r="G11" s="14">
        <v>20.275976047942201</v>
      </c>
      <c r="H11" s="8" t="s">
        <v>57</v>
      </c>
      <c r="I11" s="14">
        <v>15.980227609663199</v>
      </c>
      <c r="J11" s="14">
        <v>15.422143860297901</v>
      </c>
      <c r="K11" s="14">
        <v>16.585764753837498</v>
      </c>
      <c r="L11" s="14">
        <v>15.8495446329689</v>
      </c>
      <c r="M11" s="14">
        <v>15.682801820342901</v>
      </c>
      <c r="N11" s="17">
        <v>16.103531977598401</v>
      </c>
      <c r="P11" s="13" t="s">
        <v>78</v>
      </c>
      <c r="Q11" s="13" t="s">
        <v>2</v>
      </c>
      <c r="R11" s="14">
        <v>16.369296504012301</v>
      </c>
      <c r="T11" s="13" t="s">
        <v>80</v>
      </c>
      <c r="U11" s="13" t="s">
        <v>2</v>
      </c>
      <c r="V11" s="14">
        <v>15.736866376322</v>
      </c>
      <c r="X11" s="13" t="s">
        <v>92</v>
      </c>
      <c r="Y11" s="13" t="s">
        <v>2</v>
      </c>
      <c r="Z11" s="14">
        <v>15.5381257436898</v>
      </c>
      <c r="AB11" s="13" t="s">
        <v>92</v>
      </c>
      <c r="AC11" s="13" t="s">
        <v>2</v>
      </c>
      <c r="AD11" s="14">
        <v>20.0029563315471</v>
      </c>
    </row>
    <row r="12" spans="1:30" x14ac:dyDescent="0.25">
      <c r="A12" t="s">
        <v>58</v>
      </c>
      <c r="B12" s="14">
        <v>20.904986224868601</v>
      </c>
      <c r="C12" s="14">
        <v>21.968145209497798</v>
      </c>
      <c r="D12" s="14">
        <v>20.669970977768301</v>
      </c>
      <c r="E12" s="14">
        <v>20.253500126946602</v>
      </c>
      <c r="F12" s="14">
        <v>20.363067173810201</v>
      </c>
      <c r="G12" s="14">
        <v>19.860125912209099</v>
      </c>
      <c r="H12" s="8" t="s">
        <v>58</v>
      </c>
      <c r="I12" s="14">
        <v>16.3461969242191</v>
      </c>
      <c r="J12" s="14">
        <v>18.042029039479999</v>
      </c>
      <c r="K12" s="14">
        <v>16.680435868711701</v>
      </c>
      <c r="L12" s="14">
        <v>17.397665569582198</v>
      </c>
      <c r="M12" s="14">
        <v>17.044259668610099</v>
      </c>
      <c r="N12" s="17">
        <v>17.0732570560669</v>
      </c>
      <c r="P12" s="13" t="s">
        <v>66</v>
      </c>
      <c r="Q12" s="13" t="s">
        <v>2</v>
      </c>
      <c r="R12" s="14">
        <v>16.285341871695</v>
      </c>
      <c r="T12" s="13" t="s">
        <v>83</v>
      </c>
      <c r="U12" s="13" t="s">
        <v>2</v>
      </c>
      <c r="V12" s="14">
        <v>16.1188454354632</v>
      </c>
      <c r="X12" s="13" t="s">
        <v>93</v>
      </c>
      <c r="Y12" s="13" t="s">
        <v>2</v>
      </c>
      <c r="Z12" s="14">
        <v>15.7813226224481</v>
      </c>
      <c r="AB12" s="13" t="s">
        <v>93</v>
      </c>
      <c r="AC12" s="13" t="s">
        <v>2</v>
      </c>
      <c r="AD12" s="14">
        <v>19.824129015361802</v>
      </c>
    </row>
    <row r="13" spans="1:30" x14ac:dyDescent="0.25">
      <c r="A13" t="s">
        <v>59</v>
      </c>
      <c r="B13" s="14">
        <v>20.646264794239801</v>
      </c>
      <c r="C13" s="14">
        <v>21.713663872295999</v>
      </c>
      <c r="D13" s="14">
        <v>20.4272396535711</v>
      </c>
      <c r="E13" s="14">
        <v>19.904187716779301</v>
      </c>
      <c r="F13" s="14">
        <v>19.939305159219099</v>
      </c>
      <c r="G13" s="14">
        <v>19.553433553291399</v>
      </c>
      <c r="H13" s="8" t="s">
        <v>59</v>
      </c>
      <c r="I13" s="14">
        <v>16.478798376237702</v>
      </c>
      <c r="J13" s="14">
        <v>18.063845413747799</v>
      </c>
      <c r="K13" s="14">
        <v>17.111224157484401</v>
      </c>
      <c r="L13" s="14">
        <v>17.521745538791698</v>
      </c>
      <c r="M13" s="14">
        <v>17.176252885602199</v>
      </c>
      <c r="N13" s="17">
        <v>17.142248856496899</v>
      </c>
      <c r="P13" s="13" t="s">
        <v>91</v>
      </c>
      <c r="Q13" s="13" t="s">
        <v>2</v>
      </c>
      <c r="R13" s="14">
        <v>16.4382077369103</v>
      </c>
      <c r="T13" s="13" t="s">
        <v>67</v>
      </c>
      <c r="U13" s="13" t="s">
        <v>2</v>
      </c>
      <c r="V13" s="14">
        <v>16.236264393804699</v>
      </c>
      <c r="X13" s="13" t="s">
        <v>69</v>
      </c>
      <c r="Y13" s="13" t="s">
        <v>2</v>
      </c>
      <c r="Z13" s="14">
        <v>16.478798376237702</v>
      </c>
      <c r="AB13" s="13" t="s">
        <v>69</v>
      </c>
      <c r="AC13" s="13" t="s">
        <v>2</v>
      </c>
      <c r="AD13" s="14">
        <v>20.646264794239801</v>
      </c>
    </row>
    <row r="14" spans="1:30" x14ac:dyDescent="0.25">
      <c r="A14" t="s">
        <v>60</v>
      </c>
      <c r="B14" s="14">
        <v>21.448268522602401</v>
      </c>
      <c r="C14" s="14">
        <v>21.8876102813086</v>
      </c>
      <c r="D14" s="14">
        <v>20.6225081453276</v>
      </c>
      <c r="E14" s="14">
        <v>19.965145687714202</v>
      </c>
      <c r="F14" s="14">
        <v>20.1691221723807</v>
      </c>
      <c r="G14" s="14">
        <v>19.6136493481001</v>
      </c>
      <c r="H14" s="8" t="s">
        <v>60</v>
      </c>
      <c r="I14" s="14">
        <v>16.5366604586949</v>
      </c>
      <c r="J14" s="14">
        <v>17.9833746052417</v>
      </c>
      <c r="K14" s="14">
        <v>16.962398804285701</v>
      </c>
      <c r="L14" s="14">
        <v>17.447077284185799</v>
      </c>
      <c r="M14" s="14">
        <v>17.213096432409301</v>
      </c>
      <c r="N14" s="17">
        <v>17.024396122042599</v>
      </c>
      <c r="P14" s="13" t="s">
        <v>46</v>
      </c>
      <c r="Q14" s="13" t="s">
        <v>2</v>
      </c>
      <c r="R14" s="14">
        <v>17.1470503615061</v>
      </c>
      <c r="T14" s="13" t="s">
        <v>37</v>
      </c>
      <c r="U14" s="13" t="s">
        <v>2</v>
      </c>
      <c r="V14" s="14">
        <v>16.436311132172801</v>
      </c>
      <c r="X14" s="13" t="s">
        <v>43</v>
      </c>
      <c r="Y14" s="13" t="s">
        <v>2</v>
      </c>
      <c r="Z14" s="14">
        <v>18.063845413747799</v>
      </c>
      <c r="AB14" s="13" t="s">
        <v>43</v>
      </c>
      <c r="AC14" s="13" t="s">
        <v>2</v>
      </c>
      <c r="AD14" s="14">
        <v>21.713663872295999</v>
      </c>
    </row>
    <row r="15" spans="1:30" x14ac:dyDescent="0.25">
      <c r="A15" t="s">
        <v>61</v>
      </c>
      <c r="B15" s="14">
        <v>22.470626390673001</v>
      </c>
      <c r="C15" s="14">
        <v>21.573116644469799</v>
      </c>
      <c r="D15" s="14">
        <v>21.310108989043801</v>
      </c>
      <c r="E15" s="14">
        <v>21.030088905264499</v>
      </c>
      <c r="F15" s="14">
        <v>20.0029563315471</v>
      </c>
      <c r="G15" s="14">
        <v>19.824129015361802</v>
      </c>
      <c r="H15" s="8" t="s">
        <v>61</v>
      </c>
      <c r="I15" s="14">
        <v>16.479646883235301</v>
      </c>
      <c r="J15" s="14">
        <v>16.138533275905999</v>
      </c>
      <c r="K15" s="14">
        <v>16.057605610550699</v>
      </c>
      <c r="L15" s="14">
        <v>17.0096738860003</v>
      </c>
      <c r="M15" s="14">
        <v>15.5381257436898</v>
      </c>
      <c r="N15" s="17">
        <v>15.7813226224481</v>
      </c>
      <c r="P15" s="13" t="s">
        <v>47</v>
      </c>
      <c r="Q15" s="13" t="s">
        <v>2</v>
      </c>
      <c r="R15" s="14">
        <v>16.040505858576701</v>
      </c>
      <c r="T15" s="13" t="s">
        <v>38</v>
      </c>
      <c r="U15" s="13" t="s">
        <v>2</v>
      </c>
      <c r="V15" s="14">
        <v>16.101466455466301</v>
      </c>
      <c r="X15" s="13" t="s">
        <v>44</v>
      </c>
      <c r="Y15" s="13" t="s">
        <v>2</v>
      </c>
      <c r="Z15" s="14">
        <v>17.111224157484401</v>
      </c>
      <c r="AB15" s="13" t="s">
        <v>44</v>
      </c>
      <c r="AC15" s="13" t="s">
        <v>2</v>
      </c>
      <c r="AD15" s="14">
        <v>20.4272396535711</v>
      </c>
    </row>
    <row r="16" spans="1:30" x14ac:dyDescent="0.25">
      <c r="A16" t="s">
        <v>62</v>
      </c>
      <c r="B16" s="14">
        <v>22.376684840825298</v>
      </c>
      <c r="C16" s="14">
        <v>21.281431906901599</v>
      </c>
      <c r="D16" s="14">
        <v>21.016025133486</v>
      </c>
      <c r="E16" s="14">
        <v>20.834626049688602</v>
      </c>
      <c r="F16" s="14">
        <v>19.802100267462901</v>
      </c>
      <c r="G16" s="14">
        <v>19.868393308387599</v>
      </c>
      <c r="H16" s="8" t="s">
        <v>62</v>
      </c>
      <c r="I16" s="14">
        <v>16.948496041274801</v>
      </c>
      <c r="J16" s="14">
        <v>16.084187837675501</v>
      </c>
      <c r="K16" s="14">
        <v>16.209814954453599</v>
      </c>
      <c r="L16" s="14">
        <v>16.840760263848601</v>
      </c>
      <c r="M16" s="14">
        <v>15.896177186047399</v>
      </c>
      <c r="N16" s="17">
        <v>16.022069712643901</v>
      </c>
      <c r="P16" s="13" t="s">
        <v>48</v>
      </c>
      <c r="Q16" s="13" t="s">
        <v>2</v>
      </c>
      <c r="R16" s="14">
        <v>16.417685461116601</v>
      </c>
      <c r="T16" s="13" t="s">
        <v>39</v>
      </c>
      <c r="U16" s="13" t="s">
        <v>2</v>
      </c>
      <c r="V16" s="14">
        <v>16.355881173653199</v>
      </c>
      <c r="X16" s="13" t="s">
        <v>45</v>
      </c>
      <c r="Y16" s="13" t="s">
        <v>2</v>
      </c>
      <c r="Z16" s="14">
        <v>17.521745538791698</v>
      </c>
      <c r="AB16" s="13" t="s">
        <v>45</v>
      </c>
      <c r="AC16" s="13" t="s">
        <v>2</v>
      </c>
      <c r="AD16" s="14">
        <v>19.904187716779301</v>
      </c>
    </row>
    <row r="17" spans="1:30" x14ac:dyDescent="0.25">
      <c r="A17" t="s">
        <v>63</v>
      </c>
      <c r="B17" s="14">
        <v>22.574311436211001</v>
      </c>
      <c r="C17" s="14">
        <v>21.265159141845299</v>
      </c>
      <c r="D17" s="14">
        <v>21.085895421730299</v>
      </c>
      <c r="E17" s="14">
        <v>21.0629161648443</v>
      </c>
      <c r="F17" s="14">
        <v>19.85016733997</v>
      </c>
      <c r="G17" s="14">
        <v>19.992760238717999</v>
      </c>
      <c r="H17" s="8" t="s">
        <v>63</v>
      </c>
      <c r="I17" s="14">
        <v>16.901172965573299</v>
      </c>
      <c r="J17" s="14">
        <v>15.9416085153832</v>
      </c>
      <c r="K17" s="14">
        <v>16.359888276723801</v>
      </c>
      <c r="L17" s="14">
        <v>16.788581529586502</v>
      </c>
      <c r="M17" s="14">
        <v>15.5688799658852</v>
      </c>
      <c r="N17" s="17">
        <v>15.9497180748121</v>
      </c>
      <c r="P17" s="13" t="s">
        <v>92</v>
      </c>
      <c r="Q17" s="13" t="s">
        <v>2</v>
      </c>
      <c r="R17" s="14">
        <v>17.347128071861899</v>
      </c>
      <c r="T17" s="13" t="s">
        <v>79</v>
      </c>
      <c r="U17" s="13" t="s">
        <v>2</v>
      </c>
      <c r="V17" s="14">
        <v>16.027821032785301</v>
      </c>
      <c r="X17" s="13" t="s">
        <v>81</v>
      </c>
      <c r="Y17" s="13" t="s">
        <v>2</v>
      </c>
      <c r="Z17" s="14">
        <v>17.176252885602199</v>
      </c>
      <c r="AB17" s="13" t="s">
        <v>81</v>
      </c>
      <c r="AC17" s="13" t="s">
        <v>2</v>
      </c>
      <c r="AD17" s="14">
        <v>19.939305159219099</v>
      </c>
    </row>
    <row r="18" spans="1:30" x14ac:dyDescent="0.25">
      <c r="E18" s="4"/>
      <c r="F18" s="4"/>
      <c r="G18" s="1"/>
      <c r="H18" s="8"/>
      <c r="J18" s="4"/>
      <c r="N18" s="1"/>
      <c r="P18" s="13" t="s">
        <v>93</v>
      </c>
      <c r="Q18" s="13" t="s">
        <v>2</v>
      </c>
      <c r="R18" s="14">
        <v>17.762619685171298</v>
      </c>
      <c r="T18" s="13" t="s">
        <v>82</v>
      </c>
      <c r="U18" s="13" t="s">
        <v>2</v>
      </c>
      <c r="V18" s="14">
        <v>16.1153061479272</v>
      </c>
      <c r="X18" s="13" t="s">
        <v>84</v>
      </c>
      <c r="Y18" s="13" t="s">
        <v>2</v>
      </c>
      <c r="Z18" s="14">
        <v>17.142248856496899</v>
      </c>
      <c r="AB18" s="13" t="s">
        <v>84</v>
      </c>
      <c r="AC18" s="13" t="s">
        <v>2</v>
      </c>
      <c r="AD18" s="14">
        <v>19.553433553291399</v>
      </c>
    </row>
    <row r="19" spans="1:30" x14ac:dyDescent="0.25">
      <c r="A19" s="50" t="s">
        <v>0</v>
      </c>
      <c r="B19" s="50"/>
      <c r="C19" s="50"/>
      <c r="D19" s="50"/>
      <c r="E19" s="50"/>
      <c r="F19" s="50"/>
      <c r="G19" s="51"/>
      <c r="H19" s="49" t="s">
        <v>117</v>
      </c>
      <c r="I19" s="50"/>
      <c r="J19" s="50"/>
      <c r="K19" s="50"/>
      <c r="L19" s="50"/>
      <c r="M19" s="50"/>
      <c r="N19" s="51"/>
      <c r="P19" s="13" t="s">
        <v>65</v>
      </c>
      <c r="Q19" s="13" t="s">
        <v>2</v>
      </c>
      <c r="R19" s="14">
        <v>16.8714274523123</v>
      </c>
      <c r="T19" s="13" t="s">
        <v>68</v>
      </c>
      <c r="U19" s="13" t="s">
        <v>2</v>
      </c>
      <c r="V19" s="14">
        <v>16.191053964249502</v>
      </c>
      <c r="X19" s="13" t="s">
        <v>91</v>
      </c>
      <c r="Y19" s="13" t="s">
        <v>2</v>
      </c>
      <c r="Z19" s="14">
        <v>16.948496041274801</v>
      </c>
      <c r="AB19" s="13" t="s">
        <v>91</v>
      </c>
      <c r="AC19" s="13" t="s">
        <v>2</v>
      </c>
      <c r="AD19" s="14">
        <v>22.376684840825298</v>
      </c>
    </row>
    <row r="20" spans="1:30" x14ac:dyDescent="0.25">
      <c r="A20" t="s">
        <v>110</v>
      </c>
      <c r="B20">
        <v>0</v>
      </c>
      <c r="C20">
        <v>10</v>
      </c>
      <c r="D20">
        <v>20</v>
      </c>
      <c r="E20" s="18">
        <v>30</v>
      </c>
      <c r="F20">
        <v>60</v>
      </c>
      <c r="G20" s="1">
        <v>90</v>
      </c>
      <c r="H20" t="s">
        <v>110</v>
      </c>
      <c r="I20">
        <v>0</v>
      </c>
      <c r="J20">
        <v>10</v>
      </c>
      <c r="K20">
        <v>20</v>
      </c>
      <c r="L20" s="18">
        <v>30</v>
      </c>
      <c r="M20">
        <v>60</v>
      </c>
      <c r="N20" s="1">
        <v>90</v>
      </c>
      <c r="P20" s="13" t="s">
        <v>34</v>
      </c>
      <c r="Q20" s="13" t="s">
        <v>2</v>
      </c>
      <c r="R20" s="14">
        <v>15.799096477852601</v>
      </c>
      <c r="T20" s="13" t="s">
        <v>40</v>
      </c>
      <c r="U20" s="13" t="s">
        <v>2</v>
      </c>
      <c r="V20" s="14">
        <v>15.3287174553772</v>
      </c>
      <c r="X20" s="13" t="s">
        <v>46</v>
      </c>
      <c r="Y20" s="13" t="s">
        <v>2</v>
      </c>
      <c r="Z20" s="14">
        <v>16.084187837675501</v>
      </c>
      <c r="AB20" s="13" t="s">
        <v>46</v>
      </c>
      <c r="AC20" s="13" t="s">
        <v>2</v>
      </c>
      <c r="AD20" s="14">
        <v>21.281431906901599</v>
      </c>
    </row>
    <row r="21" spans="1:30" x14ac:dyDescent="0.25">
      <c r="A21" t="s">
        <v>49</v>
      </c>
      <c r="B21">
        <v>1</v>
      </c>
      <c r="C21" s="5">
        <f>2^-((C3-J3)-($B3-$I3))</f>
        <v>0.66693627010594625</v>
      </c>
      <c r="D21" s="5">
        <f t="shared" ref="D21:G35" si="0">2^-((D3-K3)-($B3-$I3))</f>
        <v>1.1319624629076657</v>
      </c>
      <c r="E21" s="5">
        <f t="shared" si="0"/>
        <v>1.6251098810567259</v>
      </c>
      <c r="F21" s="5">
        <f t="shared" si="0"/>
        <v>1.9817055712422638</v>
      </c>
      <c r="G21" s="6">
        <f t="shared" si="0"/>
        <v>2.6155837449685788</v>
      </c>
      <c r="H21" s="8" t="s">
        <v>98</v>
      </c>
      <c r="I21" s="5">
        <f>AVERAGE(B21:B23)</f>
        <v>1</v>
      </c>
      <c r="J21" s="5">
        <f>AVERAGE(C21:C23)</f>
        <v>0.66084479846329336</v>
      </c>
      <c r="K21" s="5">
        <f>AVERAGE(D21:D23)</f>
        <v>1.1171210526206468</v>
      </c>
      <c r="L21" s="5">
        <f>AVERAGE(E21:E23)</f>
        <v>1.6580569960574021</v>
      </c>
      <c r="M21" s="5">
        <f t="shared" ref="M21:N21" si="1">AVERAGE(F21:F23)</f>
        <v>1.881604611339031</v>
      </c>
      <c r="N21" s="5">
        <f t="shared" si="1"/>
        <v>2.3537733858729326</v>
      </c>
      <c r="P21" s="13" t="s">
        <v>35</v>
      </c>
      <c r="Q21" s="13" t="s">
        <v>2</v>
      </c>
      <c r="R21" s="14">
        <v>16.168048834045798</v>
      </c>
      <c r="T21" s="13" t="s">
        <v>41</v>
      </c>
      <c r="U21" s="13" t="s">
        <v>2</v>
      </c>
      <c r="V21" s="14">
        <v>16.5296964885612</v>
      </c>
      <c r="X21" s="13" t="s">
        <v>47</v>
      </c>
      <c r="Y21" s="13" t="s">
        <v>2</v>
      </c>
      <c r="Z21" s="14">
        <v>16.209814954453599</v>
      </c>
      <c r="AB21" s="13" t="s">
        <v>47</v>
      </c>
      <c r="AC21" s="13" t="s">
        <v>2</v>
      </c>
      <c r="AD21" s="14">
        <v>21.016025133486</v>
      </c>
    </row>
    <row r="22" spans="1:30" x14ac:dyDescent="0.25">
      <c r="A22" t="s">
        <v>50</v>
      </c>
      <c r="B22">
        <v>1</v>
      </c>
      <c r="C22" s="5">
        <f t="shared" ref="C22:C35" si="2">2^-((C4-J4)-($B4-$I4))</f>
        <v>0.55462567517571371</v>
      </c>
      <c r="D22" s="5">
        <f t="shared" si="0"/>
        <v>1.0194379246740599</v>
      </c>
      <c r="E22" s="5">
        <f t="shared" si="0"/>
        <v>1.8556440240199517</v>
      </c>
      <c r="F22" s="5">
        <f t="shared" si="0"/>
        <v>1.7290261712273285</v>
      </c>
      <c r="G22" s="6">
        <f t="shared" si="0"/>
        <v>2.1799718630858207</v>
      </c>
      <c r="H22" s="8" t="s">
        <v>99</v>
      </c>
      <c r="I22" s="5">
        <f>AVERAGE(B24:B26)</f>
        <v>1</v>
      </c>
      <c r="J22" s="5">
        <f t="shared" ref="J22:N22" si="3">AVERAGE(C24:C26)</f>
        <v>2.1250938280244545</v>
      </c>
      <c r="K22" s="5">
        <f t="shared" si="3"/>
        <v>1.6060242697457863</v>
      </c>
      <c r="L22" s="5">
        <f t="shared" si="3"/>
        <v>2.5106116737489503</v>
      </c>
      <c r="M22" s="5">
        <f t="shared" si="3"/>
        <v>3.1258411693152923</v>
      </c>
      <c r="N22" s="5">
        <f t="shared" si="3"/>
        <v>6.4078624353553151</v>
      </c>
      <c r="P22" s="13" t="s">
        <v>36</v>
      </c>
      <c r="Q22" s="13" t="s">
        <v>2</v>
      </c>
      <c r="R22" s="14">
        <v>16.795962026392701</v>
      </c>
      <c r="T22" s="13" t="s">
        <v>42</v>
      </c>
      <c r="U22" s="13" t="s">
        <v>2</v>
      </c>
      <c r="V22" s="14">
        <v>15.964669411478299</v>
      </c>
      <c r="X22" s="13" t="s">
        <v>48</v>
      </c>
      <c r="Y22" s="13" t="s">
        <v>2</v>
      </c>
      <c r="Z22" s="14">
        <v>16.840760263848601</v>
      </c>
      <c r="AB22" s="13" t="s">
        <v>48</v>
      </c>
      <c r="AC22" s="13" t="s">
        <v>2</v>
      </c>
      <c r="AD22" s="14">
        <v>20.834626049688602</v>
      </c>
    </row>
    <row r="23" spans="1:30" x14ac:dyDescent="0.25">
      <c r="A23" t="s">
        <v>51</v>
      </c>
      <c r="B23">
        <v>1</v>
      </c>
      <c r="C23" s="5">
        <f t="shared" si="2"/>
        <v>0.76097245010822012</v>
      </c>
      <c r="D23" s="5">
        <f t="shared" si="0"/>
        <v>1.1999627702802145</v>
      </c>
      <c r="E23" s="5">
        <f t="shared" si="0"/>
        <v>1.4934170830955289</v>
      </c>
      <c r="F23" s="5">
        <f t="shared" si="0"/>
        <v>1.9340820915475001</v>
      </c>
      <c r="G23" s="6">
        <f t="shared" si="0"/>
        <v>2.2657645495643988</v>
      </c>
      <c r="H23" s="8" t="s">
        <v>100</v>
      </c>
      <c r="I23" s="5">
        <f>AVERAGE(B27:B29)</f>
        <v>1</v>
      </c>
      <c r="J23" s="5">
        <f t="shared" ref="J23:N23" si="4">AVERAGE(C27:C29)</f>
        <v>1.0324693503279079</v>
      </c>
      <c r="K23" s="5">
        <f t="shared" si="4"/>
        <v>2.2833787436222912</v>
      </c>
      <c r="L23" s="5">
        <f t="shared" si="4"/>
        <v>1.920706155335268</v>
      </c>
      <c r="M23" s="5">
        <f t="shared" si="4"/>
        <v>2.5867337538482924</v>
      </c>
      <c r="N23" s="5">
        <f t="shared" si="4"/>
        <v>4.1445669570014063</v>
      </c>
      <c r="P23" s="13" t="s">
        <v>78</v>
      </c>
      <c r="Q23" s="13" t="s">
        <v>2</v>
      </c>
      <c r="R23" s="14">
        <v>16.328026503632302</v>
      </c>
      <c r="T23" s="13" t="s">
        <v>80</v>
      </c>
      <c r="U23" s="13" t="s">
        <v>2</v>
      </c>
      <c r="V23" s="14">
        <v>15.712106376989</v>
      </c>
      <c r="X23" s="13" t="s">
        <v>92</v>
      </c>
      <c r="Y23" s="13" t="s">
        <v>2</v>
      </c>
      <c r="Z23" s="14">
        <v>15.896177186047399</v>
      </c>
      <c r="AB23" s="13" t="s">
        <v>92</v>
      </c>
      <c r="AC23" s="13" t="s">
        <v>2</v>
      </c>
      <c r="AD23" s="14">
        <v>19.802100267462901</v>
      </c>
    </row>
    <row r="24" spans="1:30" x14ac:dyDescent="0.25">
      <c r="A24" t="s">
        <v>52</v>
      </c>
      <c r="B24">
        <v>1</v>
      </c>
      <c r="C24" s="5">
        <f t="shared" si="2"/>
        <v>1.8901796946151814</v>
      </c>
      <c r="D24" s="5">
        <f t="shared" si="0"/>
        <v>1.0177863817539803</v>
      </c>
      <c r="E24" s="5">
        <f t="shared" si="0"/>
        <v>1.8400540038015887</v>
      </c>
      <c r="F24" s="5">
        <f t="shared" si="0"/>
        <v>2.1409823334828801</v>
      </c>
      <c r="G24" s="6">
        <f t="shared" si="0"/>
        <v>4.8491657903771257</v>
      </c>
      <c r="H24" s="8" t="s">
        <v>101</v>
      </c>
      <c r="I24" s="5">
        <f>AVERAGE(B30:B32)</f>
        <v>1</v>
      </c>
      <c r="J24" s="5">
        <f t="shared" ref="J24:N24" si="5">AVERAGE(C30:C32)</f>
        <v>1.6641003038501765</v>
      </c>
      <c r="K24" s="5">
        <f t="shared" si="5"/>
        <v>1.8896524162537167</v>
      </c>
      <c r="L24" s="5">
        <f t="shared" si="5"/>
        <v>3.9854542621451947</v>
      </c>
      <c r="M24" s="5">
        <f>AVERAGE(F30:F3132)</f>
        <v>2.5712049468516356</v>
      </c>
      <c r="N24" s="5">
        <f t="shared" si="5"/>
        <v>3.9316083008343612</v>
      </c>
      <c r="P24" s="13" t="s">
        <v>66</v>
      </c>
      <c r="Q24" s="13" t="s">
        <v>2</v>
      </c>
      <c r="R24" s="14">
        <v>16.619153416621</v>
      </c>
      <c r="T24" s="13" t="s">
        <v>83</v>
      </c>
      <c r="U24" s="13" t="s">
        <v>2</v>
      </c>
      <c r="V24" s="14">
        <v>16.087198143904299</v>
      </c>
      <c r="X24" s="13" t="s">
        <v>93</v>
      </c>
      <c r="Y24" s="13" t="s">
        <v>2</v>
      </c>
      <c r="Z24" s="14">
        <v>16.022069712643901</v>
      </c>
      <c r="AB24" s="13" t="s">
        <v>93</v>
      </c>
      <c r="AC24" s="13" t="s">
        <v>2</v>
      </c>
      <c r="AD24" s="14">
        <v>19.868393308387599</v>
      </c>
    </row>
    <row r="25" spans="1:30" x14ac:dyDescent="0.25">
      <c r="A25" t="s">
        <v>53</v>
      </c>
      <c r="B25">
        <v>1</v>
      </c>
      <c r="C25" s="5">
        <f t="shared" si="2"/>
        <v>1.711765950841464</v>
      </c>
      <c r="D25" s="5">
        <f t="shared" si="0"/>
        <v>1.4406581630332533</v>
      </c>
      <c r="E25" s="5">
        <f t="shared" si="0"/>
        <v>2.2782602574058908</v>
      </c>
      <c r="F25" s="5">
        <f t="shared" si="0"/>
        <v>2.7893175706092364</v>
      </c>
      <c r="G25" s="6">
        <f t="shared" si="0"/>
        <v>5.3399573328196208</v>
      </c>
      <c r="H25" s="8" t="s">
        <v>102</v>
      </c>
      <c r="I25" s="5">
        <f>AVERAGE(B33:B35)</f>
        <v>1</v>
      </c>
      <c r="J25" s="5">
        <f t="shared" ref="J25:N25" si="6">AVERAGE(C33:C35)</f>
        <v>1.306130284391861</v>
      </c>
      <c r="K25" s="5">
        <f t="shared" si="6"/>
        <v>1.7118107149932229</v>
      </c>
      <c r="L25" s="5">
        <f t="shared" si="6"/>
        <v>3.0861987464874603</v>
      </c>
      <c r="M25" s="5">
        <f t="shared" si="6"/>
        <v>2.7922431972696256</v>
      </c>
      <c r="N25" s="5">
        <f t="shared" si="6"/>
        <v>3.3159195396373051</v>
      </c>
      <c r="P25" s="13" t="s">
        <v>91</v>
      </c>
      <c r="Q25" s="13" t="s">
        <v>2</v>
      </c>
      <c r="R25" s="14">
        <v>16.281990954027201</v>
      </c>
      <c r="T25" s="13" t="s">
        <v>67</v>
      </c>
      <c r="U25" s="13" t="s">
        <v>2</v>
      </c>
      <c r="V25" s="14">
        <v>16.139630069706399</v>
      </c>
      <c r="X25" s="13" t="s">
        <v>69</v>
      </c>
      <c r="Y25" s="13" t="s">
        <v>2</v>
      </c>
      <c r="Z25" s="14">
        <v>16.5366604586949</v>
      </c>
      <c r="AB25" s="13" t="s">
        <v>69</v>
      </c>
      <c r="AC25" s="13" t="s">
        <v>2</v>
      </c>
      <c r="AD25" s="14">
        <v>21.448268522602401</v>
      </c>
    </row>
    <row r="26" spans="1:30" x14ac:dyDescent="0.25">
      <c r="A26" t="s">
        <v>54</v>
      </c>
      <c r="B26">
        <v>1</v>
      </c>
      <c r="C26" s="5">
        <f t="shared" si="2"/>
        <v>2.7733358386167191</v>
      </c>
      <c r="D26" s="5">
        <f t="shared" si="0"/>
        <v>2.3596282644501247</v>
      </c>
      <c r="E26" s="5">
        <f t="shared" si="0"/>
        <v>3.413520760039372</v>
      </c>
      <c r="F26" s="5">
        <f t="shared" si="0"/>
        <v>4.4472236038537609</v>
      </c>
      <c r="G26" s="6">
        <f t="shared" si="0"/>
        <v>9.0344641828691987</v>
      </c>
      <c r="H26" s="8"/>
      <c r="I26" s="5"/>
      <c r="J26" s="5"/>
      <c r="K26" s="5"/>
      <c r="L26" s="5"/>
      <c r="M26" s="5"/>
      <c r="N26" s="5"/>
      <c r="P26" s="13" t="s">
        <v>46</v>
      </c>
      <c r="Q26" s="13" t="s">
        <v>2</v>
      </c>
      <c r="R26" s="14">
        <v>17.0936263829275</v>
      </c>
      <c r="T26" s="13" t="s">
        <v>37</v>
      </c>
      <c r="U26" s="13" t="s">
        <v>2</v>
      </c>
      <c r="V26" s="14">
        <v>16.378008975094598</v>
      </c>
      <c r="X26" s="13" t="s">
        <v>43</v>
      </c>
      <c r="Y26" s="13" t="s">
        <v>2</v>
      </c>
      <c r="Z26" s="14">
        <v>17.9833746052417</v>
      </c>
      <c r="AB26" s="13" t="s">
        <v>43</v>
      </c>
      <c r="AC26" s="13" t="s">
        <v>2</v>
      </c>
      <c r="AD26" s="14">
        <v>21.8876102813086</v>
      </c>
    </row>
    <row r="27" spans="1:30" x14ac:dyDescent="0.25">
      <c r="A27" t="s">
        <v>55</v>
      </c>
      <c r="B27">
        <v>1</v>
      </c>
      <c r="C27" s="5">
        <f t="shared" si="2"/>
        <v>1.2641049217047176</v>
      </c>
      <c r="D27" s="5">
        <f t="shared" si="0"/>
        <v>2.8600891360322116</v>
      </c>
      <c r="E27" s="5">
        <f t="shared" si="0"/>
        <v>2.7045671183663273</v>
      </c>
      <c r="F27" s="5">
        <f t="shared" si="0"/>
        <v>3.4222971329956544</v>
      </c>
      <c r="G27" s="6">
        <f t="shared" si="0"/>
        <v>5.9355615000114321</v>
      </c>
      <c r="H27" s="8"/>
      <c r="I27" s="20">
        <v>0</v>
      </c>
      <c r="J27" s="20">
        <v>10</v>
      </c>
      <c r="K27" s="20">
        <v>20</v>
      </c>
      <c r="L27" s="18">
        <v>30</v>
      </c>
      <c r="M27" s="20">
        <v>60</v>
      </c>
      <c r="N27" s="19">
        <v>90</v>
      </c>
      <c r="P27" s="13" t="s">
        <v>47</v>
      </c>
      <c r="Q27" s="13" t="s">
        <v>2</v>
      </c>
      <c r="R27" s="14">
        <v>16.001429456525798</v>
      </c>
      <c r="T27" s="13" t="s">
        <v>38</v>
      </c>
      <c r="U27" s="13" t="s">
        <v>2</v>
      </c>
      <c r="V27" s="14">
        <v>16.0144131538129</v>
      </c>
      <c r="X27" s="13" t="s">
        <v>44</v>
      </c>
      <c r="Y27" s="13" t="s">
        <v>2</v>
      </c>
      <c r="Z27" s="14">
        <v>16.962398804285701</v>
      </c>
      <c r="AB27" s="13" t="s">
        <v>44</v>
      </c>
      <c r="AC27" s="13" t="s">
        <v>2</v>
      </c>
      <c r="AD27" s="14">
        <v>20.6225081453276</v>
      </c>
    </row>
    <row r="28" spans="1:30" x14ac:dyDescent="0.25">
      <c r="A28" t="s">
        <v>56</v>
      </c>
      <c r="B28">
        <v>1</v>
      </c>
      <c r="C28" s="5">
        <f t="shared" si="2"/>
        <v>0.81170810217530642</v>
      </c>
      <c r="D28" s="5">
        <f t="shared" si="0"/>
        <v>1.8722201981689612</v>
      </c>
      <c r="E28" s="5">
        <f t="shared" si="0"/>
        <v>1.4236574032756852</v>
      </c>
      <c r="F28" s="5">
        <f t="shared" si="0"/>
        <v>2.0837119742172465</v>
      </c>
      <c r="G28" s="6">
        <f t="shared" si="0"/>
        <v>3.1854740069703631</v>
      </c>
      <c r="H28" s="8" t="s">
        <v>107</v>
      </c>
      <c r="I28" s="5">
        <f>AVERAGE(I21:I25)</f>
        <v>1</v>
      </c>
      <c r="J28" s="5">
        <f t="shared" ref="J28:N28" si="7">AVERAGE(J21:J25)</f>
        <v>1.3577277130115386</v>
      </c>
      <c r="K28" s="5">
        <f t="shared" si="7"/>
        <v>1.7215974394471327</v>
      </c>
      <c r="L28" s="5">
        <f t="shared" si="7"/>
        <v>2.632205566754855</v>
      </c>
      <c r="M28" s="5">
        <f t="shared" si="7"/>
        <v>2.5915255357247751</v>
      </c>
      <c r="N28" s="5">
        <f t="shared" si="7"/>
        <v>4.0307461237402649</v>
      </c>
      <c r="P28" s="13" t="s">
        <v>48</v>
      </c>
      <c r="Q28" s="13" t="s">
        <v>2</v>
      </c>
      <c r="R28" s="14">
        <v>16.262240520392702</v>
      </c>
      <c r="T28" s="13" t="s">
        <v>39</v>
      </c>
      <c r="U28" s="13" t="s">
        <v>2</v>
      </c>
      <c r="V28" s="14">
        <v>16.176850250624</v>
      </c>
      <c r="X28" s="13" t="s">
        <v>45</v>
      </c>
      <c r="Y28" s="13" t="s">
        <v>2</v>
      </c>
      <c r="Z28" s="14">
        <v>17.447077284185799</v>
      </c>
      <c r="AB28" s="13" t="s">
        <v>45</v>
      </c>
      <c r="AC28" s="13" t="s">
        <v>2</v>
      </c>
      <c r="AD28" s="14">
        <v>19.965145687714202</v>
      </c>
    </row>
    <row r="29" spans="1:30" x14ac:dyDescent="0.25">
      <c r="A29" t="s">
        <v>57</v>
      </c>
      <c r="B29">
        <v>1</v>
      </c>
      <c r="C29" s="5">
        <f t="shared" si="2"/>
        <v>1.0215950271036998</v>
      </c>
      <c r="D29" s="5">
        <f t="shared" si="0"/>
        <v>2.1178268966657017</v>
      </c>
      <c r="E29" s="5">
        <f t="shared" si="0"/>
        <v>1.633893944363791</v>
      </c>
      <c r="F29" s="5">
        <f t="shared" si="0"/>
        <v>2.2541921543319758</v>
      </c>
      <c r="G29" s="6">
        <f t="shared" si="0"/>
        <v>3.3126653640224242</v>
      </c>
      <c r="H29" s="8"/>
      <c r="N29" s="1"/>
      <c r="P29" s="13" t="s">
        <v>92</v>
      </c>
      <c r="Q29" s="13" t="s">
        <v>2</v>
      </c>
      <c r="R29" s="14">
        <v>17.533599599748001</v>
      </c>
      <c r="T29" s="13" t="s">
        <v>79</v>
      </c>
      <c r="U29" s="13" t="s">
        <v>2</v>
      </c>
      <c r="V29" s="14">
        <v>15.8907320651807</v>
      </c>
      <c r="X29" s="13" t="s">
        <v>81</v>
      </c>
      <c r="Y29" s="13" t="s">
        <v>2</v>
      </c>
      <c r="Z29" s="14">
        <v>17.213096432409301</v>
      </c>
      <c r="AB29" s="13" t="s">
        <v>81</v>
      </c>
      <c r="AC29" s="13" t="s">
        <v>2</v>
      </c>
      <c r="AD29" s="14">
        <v>20.1691221723807</v>
      </c>
    </row>
    <row r="30" spans="1:30" x14ac:dyDescent="0.25">
      <c r="A30" t="s">
        <v>58</v>
      </c>
      <c r="B30">
        <v>1</v>
      </c>
      <c r="C30" s="5">
        <f t="shared" si="2"/>
        <v>1.5504350930174811</v>
      </c>
      <c r="D30" s="5">
        <f t="shared" si="0"/>
        <v>1.4837563370842759</v>
      </c>
      <c r="E30" s="5">
        <f t="shared" si="0"/>
        <v>3.2556706097112027</v>
      </c>
      <c r="F30" s="5">
        <f t="shared" si="0"/>
        <v>2.3619555184937431</v>
      </c>
      <c r="G30" s="6">
        <f t="shared" si="0"/>
        <v>3.4150825322038711</v>
      </c>
      <c r="H30" s="8"/>
      <c r="N30" s="1"/>
      <c r="P30" s="13" t="s">
        <v>93</v>
      </c>
      <c r="Q30" s="13" t="s">
        <v>2</v>
      </c>
      <c r="R30" s="14">
        <v>17.8419623294131</v>
      </c>
      <c r="T30" s="13" t="s">
        <v>82</v>
      </c>
      <c r="U30" s="13" t="s">
        <v>2</v>
      </c>
      <c r="V30" s="14">
        <v>16.095067128762</v>
      </c>
      <c r="X30" s="13" t="s">
        <v>84</v>
      </c>
      <c r="Y30" s="13" t="s">
        <v>2</v>
      </c>
      <c r="Z30" s="14">
        <v>17.024396122042599</v>
      </c>
      <c r="AB30" s="13" t="s">
        <v>84</v>
      </c>
      <c r="AC30" s="13" t="s">
        <v>2</v>
      </c>
      <c r="AD30" s="14">
        <v>19.6136493481001</v>
      </c>
    </row>
    <row r="31" spans="1:30" x14ac:dyDescent="0.25">
      <c r="A31" t="s">
        <v>59</v>
      </c>
      <c r="B31">
        <v>1</v>
      </c>
      <c r="C31" s="5">
        <f t="shared" si="2"/>
        <v>1.4316193606717815</v>
      </c>
      <c r="D31" s="5">
        <f t="shared" si="0"/>
        <v>1.8043146166550919</v>
      </c>
      <c r="E31" s="5">
        <f t="shared" si="0"/>
        <v>3.4462425417762823</v>
      </c>
      <c r="F31" s="5">
        <f t="shared" si="0"/>
        <v>2.6471026560232147</v>
      </c>
      <c r="G31" s="6">
        <f t="shared" si="0"/>
        <v>3.3782631731330506</v>
      </c>
      <c r="H31" s="8"/>
      <c r="N31" s="1"/>
      <c r="P31" s="13" t="s">
        <v>65</v>
      </c>
      <c r="Q31" s="13" t="s">
        <v>2</v>
      </c>
      <c r="R31" s="14">
        <v>16.7730389229148</v>
      </c>
      <c r="T31" s="13" t="s">
        <v>68</v>
      </c>
      <c r="U31" s="13" t="s">
        <v>2</v>
      </c>
      <c r="V31" s="14">
        <v>15.980227609663199</v>
      </c>
      <c r="X31" s="13" t="s">
        <v>91</v>
      </c>
      <c r="Y31" s="13" t="s">
        <v>2</v>
      </c>
      <c r="Z31" s="14">
        <v>16.901172965573299</v>
      </c>
      <c r="AB31" s="13" t="s">
        <v>91</v>
      </c>
      <c r="AC31" s="13" t="s">
        <v>2</v>
      </c>
      <c r="AD31" s="14">
        <v>22.574311436211001</v>
      </c>
    </row>
    <row r="32" spans="1:30" x14ac:dyDescent="0.25">
      <c r="A32" t="s">
        <v>60</v>
      </c>
      <c r="B32">
        <v>1</v>
      </c>
      <c r="C32" s="5">
        <f t="shared" si="2"/>
        <v>2.0102464578612671</v>
      </c>
      <c r="D32" s="5">
        <f t="shared" si="0"/>
        <v>2.3808862950217824</v>
      </c>
      <c r="E32" s="5">
        <f t="shared" si="0"/>
        <v>5.2544496349480978</v>
      </c>
      <c r="F32" s="5">
        <f t="shared" si="0"/>
        <v>3.8787245454326054</v>
      </c>
      <c r="G32" s="6">
        <f t="shared" si="0"/>
        <v>5.0014791971661614</v>
      </c>
      <c r="H32" s="8"/>
      <c r="N32" s="1"/>
      <c r="P32" s="13" t="s">
        <v>34</v>
      </c>
      <c r="Q32" s="13" t="s">
        <v>2</v>
      </c>
      <c r="R32" s="14">
        <v>16.064671299234</v>
      </c>
      <c r="T32" s="13" t="s">
        <v>40</v>
      </c>
      <c r="U32" s="13" t="s">
        <v>2</v>
      </c>
      <c r="V32" s="14">
        <v>15.422143860297901</v>
      </c>
      <c r="X32" s="13" t="s">
        <v>46</v>
      </c>
      <c r="Y32" s="13" t="s">
        <v>2</v>
      </c>
      <c r="Z32" s="14">
        <v>15.9416085153832</v>
      </c>
      <c r="AB32" s="13" t="s">
        <v>2</v>
      </c>
      <c r="AC32" s="13" t="s">
        <v>2</v>
      </c>
      <c r="AD32" s="14"/>
    </row>
    <row r="33" spans="1:30" x14ac:dyDescent="0.25">
      <c r="A33" t="s">
        <v>61</v>
      </c>
      <c r="B33">
        <v>1</v>
      </c>
      <c r="C33" s="5">
        <f t="shared" si="2"/>
        <v>1.4705910795952493</v>
      </c>
      <c r="D33" s="5">
        <f t="shared" si="0"/>
        <v>1.6684126187377188</v>
      </c>
      <c r="E33" s="5">
        <f t="shared" si="0"/>
        <v>3.9192143746595649</v>
      </c>
      <c r="F33" s="5">
        <f t="shared" si="0"/>
        <v>2.8801599209727415</v>
      </c>
      <c r="G33" s="6">
        <f t="shared" si="0"/>
        <v>3.8588557494924376</v>
      </c>
      <c r="H33" s="8"/>
      <c r="N33" s="1"/>
      <c r="P33" s="13" t="s">
        <v>35</v>
      </c>
      <c r="Q33" s="13" t="s">
        <v>2</v>
      </c>
      <c r="R33" s="14">
        <v>16.303529161535899</v>
      </c>
      <c r="T33" s="13" t="s">
        <v>41</v>
      </c>
      <c r="U33" s="13" t="s">
        <v>2</v>
      </c>
      <c r="V33" s="14">
        <v>16.585764753837498</v>
      </c>
      <c r="X33" s="13" t="s">
        <v>47</v>
      </c>
      <c r="Y33" s="13" t="s">
        <v>2</v>
      </c>
      <c r="Z33" s="14">
        <v>16.359888276723801</v>
      </c>
      <c r="AB33" s="13" t="s">
        <v>47</v>
      </c>
      <c r="AC33" s="13" t="s">
        <v>2</v>
      </c>
      <c r="AD33" s="14">
        <v>21.085895421730299</v>
      </c>
    </row>
    <row r="34" spans="1:30" x14ac:dyDescent="0.25">
      <c r="A34" t="s">
        <v>62</v>
      </c>
      <c r="B34">
        <v>1</v>
      </c>
      <c r="C34" s="5">
        <f t="shared" si="2"/>
        <v>1.1736032166576349</v>
      </c>
      <c r="D34" s="5">
        <f t="shared" si="0"/>
        <v>1.5389844135854711</v>
      </c>
      <c r="E34" s="5">
        <f t="shared" si="0"/>
        <v>2.7025531923025716</v>
      </c>
      <c r="F34" s="5">
        <f t="shared" si="0"/>
        <v>2.8724180195819859</v>
      </c>
      <c r="G34" s="6">
        <f t="shared" si="0"/>
        <v>2.9935662608419191</v>
      </c>
      <c r="H34" s="8"/>
      <c r="N34" s="1"/>
      <c r="P34" s="13" t="s">
        <v>36</v>
      </c>
      <c r="Q34" s="13" t="s">
        <v>2</v>
      </c>
      <c r="R34" s="14">
        <v>16.3775529776665</v>
      </c>
      <c r="T34" s="13" t="s">
        <v>42</v>
      </c>
      <c r="U34" s="13" t="s">
        <v>2</v>
      </c>
      <c r="V34" s="14">
        <v>15.8495446329689</v>
      </c>
      <c r="X34" s="13" t="s">
        <v>48</v>
      </c>
      <c r="Y34" s="13" t="s">
        <v>2</v>
      </c>
      <c r="Z34" s="14">
        <v>16.788581529586502</v>
      </c>
      <c r="AB34" s="13" t="s">
        <v>48</v>
      </c>
      <c r="AC34" s="13" t="s">
        <v>2</v>
      </c>
      <c r="AD34" s="14">
        <v>21.0629161648443</v>
      </c>
    </row>
    <row r="35" spans="1:30" x14ac:dyDescent="0.25">
      <c r="A35" t="s">
        <v>63</v>
      </c>
      <c r="B35">
        <v>1</v>
      </c>
      <c r="C35" s="5">
        <f t="shared" si="2"/>
        <v>1.274196556922699</v>
      </c>
      <c r="D35" s="5">
        <f t="shared" si="0"/>
        <v>1.928035112656479</v>
      </c>
      <c r="E35" s="5">
        <f t="shared" si="0"/>
        <v>2.6368286725002452</v>
      </c>
      <c r="F35" s="5">
        <f t="shared" si="0"/>
        <v>2.6241516512541487</v>
      </c>
      <c r="G35" s="6">
        <f t="shared" si="0"/>
        <v>3.0953366085775604</v>
      </c>
      <c r="H35" s="8"/>
      <c r="N35" s="1"/>
      <c r="P35" s="13" t="s">
        <v>78</v>
      </c>
      <c r="Q35" s="13" t="s">
        <v>2</v>
      </c>
      <c r="R35" s="14">
        <v>16.373657907209399</v>
      </c>
      <c r="T35" s="13" t="s">
        <v>80</v>
      </c>
      <c r="U35" s="13" t="s">
        <v>2</v>
      </c>
      <c r="V35" s="14">
        <v>15.682801820342901</v>
      </c>
      <c r="X35" s="13" t="s">
        <v>92</v>
      </c>
      <c r="Y35" s="13" t="s">
        <v>2</v>
      </c>
      <c r="Z35" s="14">
        <v>15.5688799658852</v>
      </c>
      <c r="AB35" s="13" t="s">
        <v>92</v>
      </c>
      <c r="AC35" s="13" t="s">
        <v>2</v>
      </c>
      <c r="AD35" s="14">
        <v>19.85016733997</v>
      </c>
    </row>
    <row r="36" spans="1:30" x14ac:dyDescent="0.25">
      <c r="P36" s="13" t="s">
        <v>66</v>
      </c>
      <c r="Q36" s="13" t="s">
        <v>2</v>
      </c>
      <c r="R36" s="14">
        <v>16.543641334396401</v>
      </c>
      <c r="T36" s="13" t="s">
        <v>83</v>
      </c>
      <c r="U36" s="13" t="s">
        <v>2</v>
      </c>
      <c r="V36" s="14">
        <v>16.103531977598401</v>
      </c>
      <c r="X36" s="13" t="s">
        <v>93</v>
      </c>
      <c r="Y36" s="13" t="s">
        <v>2</v>
      </c>
      <c r="Z36" s="14">
        <v>15.9497180748121</v>
      </c>
      <c r="AB36" s="13" t="s">
        <v>93</v>
      </c>
      <c r="AC36" s="13" t="s">
        <v>2</v>
      </c>
      <c r="AD36" s="14">
        <v>19.992760238717999</v>
      </c>
    </row>
    <row r="37" spans="1:30" x14ac:dyDescent="0.25">
      <c r="B37">
        <f>_xlfn.STDEV.P(B21:B35)</f>
        <v>0</v>
      </c>
      <c r="C37">
        <f t="shared" ref="C37:G37" si="8">_xlfn.STDEV.P(C21:C35)</f>
        <v>0.56762423999270062</v>
      </c>
      <c r="D37">
        <f t="shared" si="8"/>
        <v>0.52579296601080638</v>
      </c>
      <c r="E37">
        <f t="shared" si="8"/>
        <v>1.0433505377100061</v>
      </c>
      <c r="F37">
        <f t="shared" si="8"/>
        <v>0.73392231620301107</v>
      </c>
      <c r="G37">
        <f t="shared" si="8"/>
        <v>1.7233702111526339</v>
      </c>
      <c r="P37" s="13" t="s">
        <v>91</v>
      </c>
      <c r="Q37" s="13" t="s">
        <v>2</v>
      </c>
      <c r="R37" s="14">
        <v>20.934793029814401</v>
      </c>
      <c r="T37" s="13" t="s">
        <v>67</v>
      </c>
      <c r="U37" s="13" t="s">
        <v>2</v>
      </c>
      <c r="V37" s="14">
        <v>24.6611386649599</v>
      </c>
      <c r="X37" s="13" t="s">
        <v>69</v>
      </c>
      <c r="Y37" s="13" t="s">
        <v>2</v>
      </c>
      <c r="Z37" s="14">
        <v>20.904986224868601</v>
      </c>
    </row>
    <row r="38" spans="1:30" x14ac:dyDescent="0.25">
      <c r="P38" s="13" t="s">
        <v>46</v>
      </c>
      <c r="Q38" s="13" t="s">
        <v>2</v>
      </c>
      <c r="R38" s="14">
        <v>21.5335507927043</v>
      </c>
      <c r="T38" s="13" t="s">
        <v>37</v>
      </c>
      <c r="U38" s="13" t="s">
        <v>2</v>
      </c>
      <c r="V38" s="14">
        <v>24.288191942618099</v>
      </c>
      <c r="X38" s="13" t="s">
        <v>43</v>
      </c>
      <c r="Y38" s="13" t="s">
        <v>2</v>
      </c>
      <c r="Z38" s="14">
        <v>21.968145209497798</v>
      </c>
    </row>
    <row r="39" spans="1:30" x14ac:dyDescent="0.25">
      <c r="P39" s="13" t="s">
        <v>47</v>
      </c>
      <c r="Q39" s="13" t="s">
        <v>2</v>
      </c>
      <c r="R39" s="14">
        <v>20.7886541833156</v>
      </c>
      <c r="T39" s="13" t="s">
        <v>38</v>
      </c>
      <c r="U39" s="13" t="s">
        <v>2</v>
      </c>
      <c r="V39" s="14">
        <v>24.225918939662499</v>
      </c>
      <c r="X39" s="13" t="s">
        <v>44</v>
      </c>
      <c r="Y39" s="13" t="s">
        <v>2</v>
      </c>
      <c r="Z39" s="14">
        <v>20.669970977768301</v>
      </c>
    </row>
    <row r="40" spans="1:30" x14ac:dyDescent="0.25">
      <c r="P40" s="13" t="s">
        <v>48</v>
      </c>
      <c r="Q40" s="13" t="s">
        <v>2</v>
      </c>
      <c r="R40" s="14">
        <v>20.575267990278199</v>
      </c>
      <c r="T40" s="13" t="s">
        <v>39</v>
      </c>
      <c r="U40" s="13" t="s">
        <v>2</v>
      </c>
      <c r="V40" s="14">
        <v>23.8122166689887</v>
      </c>
      <c r="X40" s="13" t="s">
        <v>45</v>
      </c>
      <c r="Y40" s="13" t="s">
        <v>2</v>
      </c>
      <c r="Z40" s="14">
        <v>20.253500126946602</v>
      </c>
    </row>
    <row r="41" spans="1:30" x14ac:dyDescent="0.25">
      <c r="P41" s="13" t="s">
        <v>92</v>
      </c>
      <c r="Q41" s="13" t="s">
        <v>2</v>
      </c>
      <c r="R41" s="14">
        <v>20.471063473726801</v>
      </c>
      <c r="T41" s="13" t="s">
        <v>79</v>
      </c>
      <c r="U41" s="13" t="s">
        <v>2</v>
      </c>
      <c r="V41" s="14">
        <v>23.124356304039701</v>
      </c>
      <c r="X41" s="13" t="s">
        <v>81</v>
      </c>
      <c r="Y41" s="13" t="s">
        <v>2</v>
      </c>
      <c r="Z41" s="14">
        <v>20.363067173810201</v>
      </c>
    </row>
    <row r="42" spans="1:30" x14ac:dyDescent="0.25">
      <c r="P42" s="13" t="s">
        <v>93</v>
      </c>
      <c r="Q42" s="13" t="s">
        <v>2</v>
      </c>
      <c r="R42" s="14">
        <v>21.2763177965907</v>
      </c>
      <c r="T42" s="13" t="s">
        <v>82</v>
      </c>
      <c r="U42" s="13" t="s">
        <v>2</v>
      </c>
      <c r="V42" s="14">
        <v>22.2368981190121</v>
      </c>
      <c r="X42" s="13" t="s">
        <v>84</v>
      </c>
      <c r="Y42" s="13" t="s">
        <v>2</v>
      </c>
      <c r="Z42" s="14">
        <v>19.860125912209099</v>
      </c>
    </row>
    <row r="43" spans="1:30" x14ac:dyDescent="0.25">
      <c r="P43" s="13" t="s">
        <v>65</v>
      </c>
      <c r="Q43" s="13" t="s">
        <v>2</v>
      </c>
      <c r="R43" s="14">
        <v>21.875609675079101</v>
      </c>
      <c r="T43" s="13" t="s">
        <v>68</v>
      </c>
      <c r="U43" s="13" t="s">
        <v>2</v>
      </c>
      <c r="V43" s="14">
        <v>22.110282582351701</v>
      </c>
      <c r="X43" s="13" t="s">
        <v>91</v>
      </c>
      <c r="Y43" s="13" t="s">
        <v>2</v>
      </c>
      <c r="Z43" s="14">
        <v>22.470626390673001</v>
      </c>
    </row>
    <row r="44" spans="1:30" x14ac:dyDescent="0.25">
      <c r="P44" s="13" t="s">
        <v>34</v>
      </c>
      <c r="Q44" s="13" t="s">
        <v>2</v>
      </c>
      <c r="R44" s="14">
        <v>21.5418960566106</v>
      </c>
      <c r="T44" s="13" t="s">
        <v>40</v>
      </c>
      <c r="U44" s="13" t="s">
        <v>2</v>
      </c>
      <c r="V44" s="14">
        <v>21.3432616577382</v>
      </c>
      <c r="X44" s="13" t="s">
        <v>46</v>
      </c>
      <c r="Y44" s="13" t="s">
        <v>2</v>
      </c>
      <c r="Z44" s="14">
        <v>21.573116644469799</v>
      </c>
    </row>
    <row r="45" spans="1:30" x14ac:dyDescent="0.25">
      <c r="P45" s="13" t="s">
        <v>35</v>
      </c>
      <c r="Q45" s="13" t="s">
        <v>2</v>
      </c>
      <c r="R45" s="14">
        <v>21.1301706380445</v>
      </c>
      <c r="T45" s="13" t="s">
        <v>41</v>
      </c>
      <c r="U45" s="13" t="s">
        <v>2</v>
      </c>
      <c r="V45" s="14">
        <v>21.500729232701602</v>
      </c>
      <c r="X45" s="13" t="s">
        <v>47</v>
      </c>
      <c r="Y45" s="13" t="s">
        <v>2</v>
      </c>
      <c r="Z45" s="14">
        <v>21.310108989043801</v>
      </c>
    </row>
    <row r="46" spans="1:30" x14ac:dyDescent="0.25">
      <c r="P46" s="13" t="s">
        <v>36</v>
      </c>
      <c r="Q46" s="13" t="s">
        <v>2</v>
      </c>
      <c r="R46" s="14">
        <v>20.850684321440301</v>
      </c>
      <c r="T46" s="13" t="s">
        <v>42</v>
      </c>
      <c r="U46" s="13" t="s">
        <v>2</v>
      </c>
      <c r="V46" s="14">
        <v>21.0812475004054</v>
      </c>
      <c r="X46" s="13" t="s">
        <v>48</v>
      </c>
      <c r="Y46" s="13" t="s">
        <v>2</v>
      </c>
      <c r="Z46" s="14">
        <v>21.030088905264499</v>
      </c>
    </row>
    <row r="47" spans="1:30" x14ac:dyDescent="0.25">
      <c r="P47" s="13" t="s">
        <v>78</v>
      </c>
      <c r="Q47" s="13" t="s">
        <v>2</v>
      </c>
      <c r="R47" s="14">
        <v>20.557300893028501</v>
      </c>
      <c r="T47" s="13" t="s">
        <v>80</v>
      </c>
      <c r="U47" s="13" t="s">
        <v>2</v>
      </c>
      <c r="V47" s="14">
        <v>20.475051220395201</v>
      </c>
      <c r="X47" s="13" t="s">
        <v>92</v>
      </c>
      <c r="Y47" s="13" t="s">
        <v>2</v>
      </c>
      <c r="Z47" s="14">
        <v>20.0029563315471</v>
      </c>
    </row>
    <row r="48" spans="1:30" x14ac:dyDescent="0.25">
      <c r="P48" s="13" t="s">
        <v>66</v>
      </c>
      <c r="Q48" s="13" t="s">
        <v>2</v>
      </c>
      <c r="R48" s="14">
        <v>20.0729559305043</v>
      </c>
      <c r="T48" s="13" t="s">
        <v>83</v>
      </c>
      <c r="U48" s="13" t="s">
        <v>2</v>
      </c>
      <c r="V48" s="14">
        <v>20.0626107891703</v>
      </c>
      <c r="X48" s="13" t="s">
        <v>93</v>
      </c>
      <c r="Y48" s="13" t="s">
        <v>2</v>
      </c>
      <c r="Z48" s="14">
        <v>19.824129015361802</v>
      </c>
    </row>
    <row r="49" spans="16:26" x14ac:dyDescent="0.25">
      <c r="P49" s="13" t="s">
        <v>91</v>
      </c>
      <c r="Q49" s="13" t="s">
        <v>2</v>
      </c>
      <c r="R49" s="14">
        <v>20.989896748759701</v>
      </c>
      <c r="T49" s="13" t="s">
        <v>67</v>
      </c>
      <c r="U49" s="13" t="s">
        <v>2</v>
      </c>
      <c r="V49" s="14">
        <v>24.590709923071</v>
      </c>
      <c r="X49" s="13" t="s">
        <v>69</v>
      </c>
      <c r="Y49" s="13" t="s">
        <v>2</v>
      </c>
      <c r="Z49" s="14">
        <v>20.646264794239801</v>
      </c>
    </row>
    <row r="50" spans="16:26" x14ac:dyDescent="0.25">
      <c r="P50" s="13" t="s">
        <v>46</v>
      </c>
      <c r="Q50" s="13" t="s">
        <v>2</v>
      </c>
      <c r="R50" s="14">
        <v>21.233985729393702</v>
      </c>
      <c r="T50" s="13" t="s">
        <v>37</v>
      </c>
      <c r="U50" s="13" t="s">
        <v>2</v>
      </c>
      <c r="V50" s="14">
        <v>24.015271205403</v>
      </c>
      <c r="X50" s="13" t="s">
        <v>43</v>
      </c>
      <c r="Y50" s="13" t="s">
        <v>2</v>
      </c>
      <c r="Z50" s="14">
        <v>21.713663872295999</v>
      </c>
    </row>
    <row r="51" spans="16:26" x14ac:dyDescent="0.25">
      <c r="P51" s="13" t="s">
        <v>47</v>
      </c>
      <c r="Q51" s="13" t="s">
        <v>2</v>
      </c>
      <c r="R51" s="14">
        <v>20.229516326430801</v>
      </c>
      <c r="T51" s="13" t="s">
        <v>38</v>
      </c>
      <c r="U51" s="13" t="s">
        <v>2</v>
      </c>
      <c r="V51" s="14">
        <v>23.9291839288875</v>
      </c>
      <c r="X51" s="13" t="s">
        <v>44</v>
      </c>
      <c r="Y51" s="13" t="s">
        <v>2</v>
      </c>
      <c r="Z51" s="14">
        <v>20.4272396535711</v>
      </c>
    </row>
    <row r="52" spans="16:26" x14ac:dyDescent="0.25">
      <c r="P52" s="13" t="s">
        <v>48</v>
      </c>
      <c r="Q52" s="13" t="s">
        <v>2</v>
      </c>
      <c r="R52" s="14">
        <v>20.408657710298801</v>
      </c>
      <c r="T52" s="13" t="s">
        <v>39</v>
      </c>
      <c r="U52" s="13" t="s">
        <v>2</v>
      </c>
      <c r="V52" s="14">
        <v>23.5223941399727</v>
      </c>
      <c r="X52" s="13" t="s">
        <v>45</v>
      </c>
      <c r="Y52" s="13" t="s">
        <v>2</v>
      </c>
      <c r="Z52" s="14">
        <v>19.904187716779301</v>
      </c>
    </row>
    <row r="53" spans="16:26" x14ac:dyDescent="0.25">
      <c r="P53" s="13" t="s">
        <v>92</v>
      </c>
      <c r="Q53" s="13" t="s">
        <v>2</v>
      </c>
      <c r="R53" s="14">
        <v>20.213473294440099</v>
      </c>
      <c r="T53" s="13" t="s">
        <v>79</v>
      </c>
      <c r="U53" s="13" t="s">
        <v>2</v>
      </c>
      <c r="V53" s="14">
        <v>22.902354363984799</v>
      </c>
      <c r="X53" s="13" t="s">
        <v>81</v>
      </c>
      <c r="Y53" s="13" t="s">
        <v>2</v>
      </c>
      <c r="Z53" s="14">
        <v>19.939305159219099</v>
      </c>
    </row>
    <row r="54" spans="16:26" x14ac:dyDescent="0.25">
      <c r="P54" s="13" t="s">
        <v>93</v>
      </c>
      <c r="Q54" s="13" t="s">
        <v>2</v>
      </c>
      <c r="R54" s="14">
        <v>20.4418577337924</v>
      </c>
      <c r="T54" s="13" t="s">
        <v>82</v>
      </c>
      <c r="U54" s="13" t="s">
        <v>2</v>
      </c>
      <c r="V54" s="14">
        <v>22.052923462616899</v>
      </c>
      <c r="X54" s="13" t="s">
        <v>84</v>
      </c>
      <c r="Y54" s="13" t="s">
        <v>2</v>
      </c>
      <c r="Z54" s="14">
        <v>19.553433553291399</v>
      </c>
    </row>
    <row r="55" spans="16:26" x14ac:dyDescent="0.25">
      <c r="P55" s="13" t="s">
        <v>65</v>
      </c>
      <c r="Q55" s="13" t="s">
        <v>2</v>
      </c>
      <c r="R55" s="14">
        <v>21.647783486314101</v>
      </c>
      <c r="T55" s="13" t="s">
        <v>68</v>
      </c>
      <c r="U55" s="13" t="s">
        <v>2</v>
      </c>
      <c r="V55" s="14">
        <v>21.8624229835949</v>
      </c>
      <c r="X55" s="13" t="s">
        <v>91</v>
      </c>
      <c r="Y55" s="13" t="s">
        <v>2</v>
      </c>
      <c r="Z55" s="14">
        <v>22.376684840825298</v>
      </c>
    </row>
    <row r="56" spans="16:26" x14ac:dyDescent="0.25">
      <c r="P56" s="13" t="s">
        <v>34</v>
      </c>
      <c r="Q56" s="13" t="s">
        <v>2</v>
      </c>
      <c r="R56" s="14">
        <v>21.4258662024248</v>
      </c>
      <c r="T56" s="13" t="s">
        <v>40</v>
      </c>
      <c r="U56" s="13" t="s">
        <v>2</v>
      </c>
      <c r="V56" s="14">
        <v>21.301053555566899</v>
      </c>
      <c r="X56" s="13" t="s">
        <v>46</v>
      </c>
      <c r="Y56" s="13" t="s">
        <v>2</v>
      </c>
      <c r="Z56" s="14">
        <v>21.281431906901599</v>
      </c>
    </row>
    <row r="57" spans="16:26" x14ac:dyDescent="0.25">
      <c r="P57" s="13" t="s">
        <v>35</v>
      </c>
      <c r="Q57" s="13" t="s">
        <v>2</v>
      </c>
      <c r="R57" s="14">
        <v>20.916630938197201</v>
      </c>
      <c r="T57" s="13" t="s">
        <v>41</v>
      </c>
      <c r="U57" s="13" t="s">
        <v>2</v>
      </c>
      <c r="V57" s="14">
        <v>21.296315382748102</v>
      </c>
      <c r="X57" s="13" t="s">
        <v>47</v>
      </c>
      <c r="Y57" s="13" t="s">
        <v>2</v>
      </c>
      <c r="Z57" s="14">
        <v>21.016025133486</v>
      </c>
    </row>
    <row r="58" spans="16:26" x14ac:dyDescent="0.25">
      <c r="P58" s="13" t="s">
        <v>36</v>
      </c>
      <c r="Q58" s="13" t="s">
        <v>2</v>
      </c>
      <c r="R58" s="14">
        <v>20.680398081630301</v>
      </c>
      <c r="T58" s="13" t="s">
        <v>42</v>
      </c>
      <c r="U58" s="13" t="s">
        <v>2</v>
      </c>
      <c r="V58" s="14">
        <v>21.126436420798498</v>
      </c>
      <c r="X58" s="13" t="s">
        <v>48</v>
      </c>
      <c r="Y58" s="13" t="s">
        <v>2</v>
      </c>
      <c r="Z58" s="14">
        <v>20.834626049688602</v>
      </c>
    </row>
    <row r="59" spans="16:26" x14ac:dyDescent="0.25">
      <c r="P59" s="13" t="s">
        <v>78</v>
      </c>
      <c r="Q59" s="13" t="s">
        <v>2</v>
      </c>
      <c r="R59" s="14">
        <v>20.3144228312831</v>
      </c>
      <c r="T59" s="13" t="s">
        <v>80</v>
      </c>
      <c r="U59" s="13" t="s">
        <v>2</v>
      </c>
      <c r="V59" s="14">
        <v>20.324319524709399</v>
      </c>
      <c r="X59" s="13" t="s">
        <v>92</v>
      </c>
      <c r="Y59" s="13" t="s">
        <v>2</v>
      </c>
      <c r="Z59" s="14">
        <v>19.802100267462901</v>
      </c>
    </row>
    <row r="60" spans="16:26" x14ac:dyDescent="0.25">
      <c r="P60" s="13" t="s">
        <v>66</v>
      </c>
      <c r="Q60" s="13" t="s">
        <v>2</v>
      </c>
      <c r="R60" s="14">
        <v>20.271199936376799</v>
      </c>
      <c r="T60" s="13" t="s">
        <v>83</v>
      </c>
      <c r="U60" s="13" t="s">
        <v>2</v>
      </c>
      <c r="V60" s="14">
        <v>20.087059097950601</v>
      </c>
      <c r="X60" s="13" t="s">
        <v>93</v>
      </c>
      <c r="Y60" s="13" t="s">
        <v>2</v>
      </c>
      <c r="Z60" s="14">
        <v>19.868393308387599</v>
      </c>
    </row>
    <row r="61" spans="16:26" x14ac:dyDescent="0.25">
      <c r="P61" s="13" t="s">
        <v>91</v>
      </c>
      <c r="Q61" s="13" t="s">
        <v>2</v>
      </c>
      <c r="R61" s="14">
        <v>21.9253783066926</v>
      </c>
      <c r="T61" s="13" t="s">
        <v>67</v>
      </c>
      <c r="U61" s="13" t="s">
        <v>2</v>
      </c>
      <c r="V61" s="14">
        <v>25.4089833084711</v>
      </c>
      <c r="X61" s="13" t="s">
        <v>69</v>
      </c>
      <c r="Y61" s="13" t="s">
        <v>2</v>
      </c>
      <c r="Z61" s="14">
        <v>21.448268522602401</v>
      </c>
    </row>
    <row r="62" spans="16:26" x14ac:dyDescent="0.25">
      <c r="P62" s="13" t="s">
        <v>46</v>
      </c>
      <c r="Q62" s="13" t="s">
        <v>2</v>
      </c>
      <c r="R62" s="14">
        <v>21.1485925596572</v>
      </c>
      <c r="T62" s="13" t="s">
        <v>37</v>
      </c>
      <c r="U62" s="13" t="s">
        <v>2</v>
      </c>
      <c r="V62" s="14">
        <v>24.175739882959899</v>
      </c>
      <c r="X62" s="13" t="s">
        <v>43</v>
      </c>
      <c r="Y62" s="13" t="s">
        <v>2</v>
      </c>
      <c r="Z62" s="14">
        <v>21.8876102813086</v>
      </c>
    </row>
    <row r="63" spans="16:26" x14ac:dyDescent="0.25">
      <c r="P63" s="13" t="s">
        <v>47</v>
      </c>
      <c r="Q63" s="13" t="s">
        <v>2</v>
      </c>
      <c r="R63" s="14">
        <v>20.379555880784999</v>
      </c>
      <c r="T63" s="13" t="s">
        <v>38</v>
      </c>
      <c r="U63" s="13" t="s">
        <v>2</v>
      </c>
      <c r="V63" s="14">
        <v>24.0452067970907</v>
      </c>
      <c r="X63" s="13" t="s">
        <v>44</v>
      </c>
      <c r="Y63" s="13" t="s">
        <v>2</v>
      </c>
      <c r="Z63" s="14">
        <v>20.6225081453276</v>
      </c>
    </row>
    <row r="64" spans="16:26" x14ac:dyDescent="0.25">
      <c r="P64" s="13" t="s">
        <v>48</v>
      </c>
      <c r="Q64" s="13" t="s">
        <v>2</v>
      </c>
      <c r="R64" s="14">
        <v>20.341303530523501</v>
      </c>
      <c r="T64" s="13" t="s">
        <v>39</v>
      </c>
      <c r="U64" s="13" t="s">
        <v>2</v>
      </c>
      <c r="V64" s="14">
        <v>23.674942963432699</v>
      </c>
      <c r="X64" s="13" t="s">
        <v>45</v>
      </c>
      <c r="Y64" s="13" t="s">
        <v>2</v>
      </c>
      <c r="Z64" s="14">
        <v>19.965145687714202</v>
      </c>
    </row>
    <row r="65" spans="16:26" x14ac:dyDescent="0.25">
      <c r="P65" s="13" t="s">
        <v>92</v>
      </c>
      <c r="Q65" s="13" t="s">
        <v>2</v>
      </c>
      <c r="R65" s="14">
        <v>20.328191314604599</v>
      </c>
      <c r="T65" s="13" t="s">
        <v>79</v>
      </c>
      <c r="U65" s="13" t="s">
        <v>2</v>
      </c>
      <c r="V65" s="14">
        <v>23.007180359552599</v>
      </c>
      <c r="X65" s="13" t="s">
        <v>81</v>
      </c>
      <c r="Y65" s="13" t="s">
        <v>2</v>
      </c>
      <c r="Z65" s="14">
        <v>20.1691221723807</v>
      </c>
    </row>
    <row r="66" spans="16:26" x14ac:dyDescent="0.25">
      <c r="P66" s="13" t="s">
        <v>93</v>
      </c>
      <c r="Q66" s="13" t="s">
        <v>2</v>
      </c>
      <c r="R66" s="14">
        <v>20.581624864952801</v>
      </c>
      <c r="T66" s="13" t="s">
        <v>82</v>
      </c>
      <c r="U66" s="13" t="s">
        <v>2</v>
      </c>
      <c r="V66" s="14">
        <v>22.1889813274374</v>
      </c>
      <c r="X66" s="13" t="s">
        <v>84</v>
      </c>
      <c r="Y66" s="13" t="s">
        <v>2</v>
      </c>
      <c r="Z66" s="14">
        <v>19.6136493481001</v>
      </c>
    </row>
    <row r="67" spans="16:26" x14ac:dyDescent="0.25">
      <c r="P67" s="13" t="s">
        <v>65</v>
      </c>
      <c r="Q67" s="13" t="s">
        <v>2</v>
      </c>
      <c r="R67" s="14">
        <v>21.773238932986899</v>
      </c>
      <c r="T67" s="13" t="s">
        <v>68</v>
      </c>
      <c r="U67" s="13" t="s">
        <v>2</v>
      </c>
      <c r="V67" s="14">
        <v>21.880664153860899</v>
      </c>
      <c r="X67" s="13" t="s">
        <v>91</v>
      </c>
      <c r="Y67" s="13" t="s">
        <v>2</v>
      </c>
      <c r="Z67" s="14">
        <v>22.574311436211001</v>
      </c>
    </row>
    <row r="68" spans="16:26" x14ac:dyDescent="0.25">
      <c r="P68" s="13" t="s">
        <v>34</v>
      </c>
      <c r="Q68" s="13" t="s">
        <v>2</v>
      </c>
      <c r="R68" s="14">
        <v>21.458955180177799</v>
      </c>
      <c r="T68" s="13" t="s">
        <v>40</v>
      </c>
      <c r="U68" s="13" t="s">
        <v>2</v>
      </c>
      <c r="V68" s="14">
        <v>21.291756997042299</v>
      </c>
      <c r="X68" s="13" t="s">
        <v>2</v>
      </c>
      <c r="Y68" s="13" t="s">
        <v>2</v>
      </c>
      <c r="Z68" s="14"/>
    </row>
    <row r="69" spans="16:26" x14ac:dyDescent="0.25">
      <c r="P69" s="13" t="s">
        <v>35</v>
      </c>
      <c r="Q69" s="13" t="s">
        <v>2</v>
      </c>
      <c r="R69" s="14">
        <v>21.040739525745298</v>
      </c>
      <c r="T69" s="13" t="s">
        <v>41</v>
      </c>
      <c r="U69" s="13" t="s">
        <v>2</v>
      </c>
      <c r="V69" s="14">
        <v>21.403616624440499</v>
      </c>
      <c r="X69" s="13" t="s">
        <v>47</v>
      </c>
      <c r="Y69" s="13" t="s">
        <v>2</v>
      </c>
      <c r="Z69" s="14">
        <v>21.085895421730299</v>
      </c>
    </row>
    <row r="70" spans="16:26" x14ac:dyDescent="0.25">
      <c r="P70" s="13" t="s">
        <v>36</v>
      </c>
      <c r="Q70" s="13" t="s">
        <v>2</v>
      </c>
      <c r="R70" s="14">
        <v>20.7991358486019</v>
      </c>
      <c r="T70" s="13" t="s">
        <v>42</v>
      </c>
      <c r="U70" s="13" t="s">
        <v>2</v>
      </c>
      <c r="V70" s="14">
        <v>21.0416668356084</v>
      </c>
      <c r="X70" s="13" t="s">
        <v>48</v>
      </c>
      <c r="Y70" s="13" t="s">
        <v>2</v>
      </c>
      <c r="Z70" s="14">
        <v>21.0629161648443</v>
      </c>
    </row>
    <row r="71" spans="16:26" x14ac:dyDescent="0.25">
      <c r="P71" s="13" t="s">
        <v>78</v>
      </c>
      <c r="Q71" s="13" t="s">
        <v>2</v>
      </c>
      <c r="R71" s="14">
        <v>20.422208886399002</v>
      </c>
      <c r="T71" s="13" t="s">
        <v>80</v>
      </c>
      <c r="U71" s="13" t="s">
        <v>2</v>
      </c>
      <c r="V71" s="14">
        <v>20.410627863987902</v>
      </c>
      <c r="X71" s="13" t="s">
        <v>92</v>
      </c>
      <c r="Y71" s="13" t="s">
        <v>2</v>
      </c>
      <c r="Z71" s="14">
        <v>19.85016733997</v>
      </c>
    </row>
    <row r="72" spans="16:26" x14ac:dyDescent="0.25">
      <c r="P72" s="13" t="s">
        <v>66</v>
      </c>
      <c r="Q72" s="13" t="s">
        <v>2</v>
      </c>
      <c r="R72" s="14">
        <v>20.363843395412701</v>
      </c>
      <c r="T72" s="13" t="s">
        <v>83</v>
      </c>
      <c r="U72" s="13" t="s">
        <v>2</v>
      </c>
      <c r="V72" s="14">
        <v>20.275976047942201</v>
      </c>
      <c r="X72" s="13" t="s">
        <v>93</v>
      </c>
      <c r="Y72" s="13" t="s">
        <v>2</v>
      </c>
      <c r="Z72" s="14">
        <v>19.992760238717999</v>
      </c>
    </row>
    <row r="73" spans="16:26" x14ac:dyDescent="0.25">
      <c r="T73" s="13" t="s">
        <v>2</v>
      </c>
      <c r="U73" s="13" t="s">
        <v>2</v>
      </c>
      <c r="V73" s="14"/>
      <c r="X73" s="13" t="s">
        <v>2</v>
      </c>
      <c r="Y73" s="13" t="s">
        <v>2</v>
      </c>
      <c r="Z73" s="14"/>
    </row>
    <row r="74" spans="16:26" x14ac:dyDescent="0.25">
      <c r="T74" s="13" t="s">
        <v>2</v>
      </c>
      <c r="U74" s="13" t="s">
        <v>2</v>
      </c>
      <c r="V74" s="14"/>
      <c r="X74" s="13" t="s">
        <v>2</v>
      </c>
      <c r="Y74" s="13" t="s">
        <v>2</v>
      </c>
      <c r="Z74" s="14"/>
    </row>
    <row r="75" spans="16:26" x14ac:dyDescent="0.25">
      <c r="T75" s="13" t="s">
        <v>2</v>
      </c>
      <c r="U75" s="13" t="s">
        <v>2</v>
      </c>
      <c r="V75" s="14"/>
      <c r="X75" s="13" t="s">
        <v>2</v>
      </c>
      <c r="Y75" s="13" t="s">
        <v>2</v>
      </c>
      <c r="Z75" s="14"/>
    </row>
    <row r="76" spans="16:26" x14ac:dyDescent="0.25">
      <c r="T76" s="15" t="s">
        <v>94</v>
      </c>
      <c r="U76" s="13" t="s">
        <v>2</v>
      </c>
      <c r="V76" s="14">
        <v>21.0351387348251</v>
      </c>
      <c r="X76" s="13" t="s">
        <v>2</v>
      </c>
      <c r="Y76" s="13" t="s">
        <v>2</v>
      </c>
      <c r="Z76" s="14"/>
    </row>
    <row r="77" spans="16:26" x14ac:dyDescent="0.25">
      <c r="T77" s="15" t="s">
        <v>95</v>
      </c>
      <c r="U77" s="13" t="s">
        <v>2</v>
      </c>
      <c r="V77" s="14">
        <v>17.575746627218098</v>
      </c>
      <c r="X77" s="13" t="s">
        <v>2</v>
      </c>
      <c r="Y77" s="13" t="s">
        <v>2</v>
      </c>
      <c r="Z77" s="14"/>
    </row>
    <row r="78" spans="16:26" x14ac:dyDescent="0.25">
      <c r="T78" s="15" t="s">
        <v>96</v>
      </c>
      <c r="U78" s="13" t="s">
        <v>2</v>
      </c>
      <c r="V78" s="14">
        <v>20.646553033921901</v>
      </c>
      <c r="X78" s="15" t="s">
        <v>97</v>
      </c>
      <c r="Y78" s="13" t="s">
        <v>2</v>
      </c>
      <c r="Z78" s="14">
        <v>24.632368367837501</v>
      </c>
    </row>
    <row r="79" spans="16:26" x14ac:dyDescent="0.25">
      <c r="X79" s="13" t="s">
        <v>2</v>
      </c>
      <c r="Y79" s="13" t="s">
        <v>2</v>
      </c>
      <c r="Z79" s="14"/>
    </row>
    <row r="80" spans="16:26" x14ac:dyDescent="0.25">
      <c r="X80" s="13" t="s">
        <v>46</v>
      </c>
      <c r="Y80" s="13" t="s">
        <v>2</v>
      </c>
      <c r="Z80" s="14">
        <v>21.265159141845299</v>
      </c>
    </row>
  </sheetData>
  <mergeCells count="4">
    <mergeCell ref="A1:G1"/>
    <mergeCell ref="H1:N1"/>
    <mergeCell ref="A19:G19"/>
    <mergeCell ref="H19:N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3E2A-5BDC-4248-A299-C65009092F10}">
  <dimension ref="A1:L76"/>
  <sheetViews>
    <sheetView topLeftCell="E58" zoomScaleNormal="100" workbookViewId="0">
      <selection activeCell="G1" sqref="G1:L76"/>
    </sheetView>
  </sheetViews>
  <sheetFormatPr defaultColWidth="8.85546875" defaultRowHeight="15" x14ac:dyDescent="0.25"/>
  <cols>
    <col min="1" max="6" width="10.140625" customWidth="1"/>
  </cols>
  <sheetData>
    <row r="1" spans="1:12" ht="15.75" thickBot="1" x14ac:dyDescent="0.3">
      <c r="A1" s="50" t="s">
        <v>119</v>
      </c>
      <c r="B1" s="50"/>
      <c r="C1" s="50"/>
      <c r="D1" s="50"/>
      <c r="E1" s="50"/>
      <c r="F1" s="50"/>
      <c r="G1" s="50" t="s">
        <v>118</v>
      </c>
      <c r="H1" s="50"/>
      <c r="I1" s="50"/>
      <c r="J1" s="50"/>
      <c r="K1" s="50"/>
      <c r="L1" s="50"/>
    </row>
    <row r="2" spans="1:12" x14ac:dyDescent="0.25">
      <c r="A2">
        <v>0</v>
      </c>
      <c r="B2">
        <v>10</v>
      </c>
      <c r="C2">
        <v>20</v>
      </c>
      <c r="D2">
        <v>30</v>
      </c>
      <c r="E2">
        <v>60</v>
      </c>
      <c r="F2">
        <v>90</v>
      </c>
      <c r="G2" s="26">
        <v>1</v>
      </c>
      <c r="H2" s="27">
        <v>0.10111913971273905</v>
      </c>
      <c r="I2" s="27">
        <v>0.13446398773198276</v>
      </c>
      <c r="J2" s="27">
        <v>0.15164069139951356</v>
      </c>
      <c r="K2" s="27">
        <v>0.16223384220346301</v>
      </c>
      <c r="L2" s="28">
        <v>0.31400096628996921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s="29">
        <v>1</v>
      </c>
      <c r="H3">
        <v>0.45999084082663699</v>
      </c>
      <c r="I3">
        <v>0.77304820729179069</v>
      </c>
      <c r="J3">
        <v>0.61353636169262016</v>
      </c>
      <c r="K3">
        <v>0.77036171042459334</v>
      </c>
      <c r="L3" s="30">
        <v>1.336203170390202</v>
      </c>
    </row>
    <row r="4" spans="1:12" x14ac:dyDescent="0.25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 s="29">
        <v>1</v>
      </c>
      <c r="H4">
        <v>0.20706824281341735</v>
      </c>
      <c r="I4">
        <v>0.28861987727669824</v>
      </c>
      <c r="J4">
        <v>0.26245083116965617</v>
      </c>
      <c r="K4">
        <v>0.34676006771129092</v>
      </c>
      <c r="L4" s="30">
        <v>0.26898081458537498</v>
      </c>
    </row>
    <row r="5" spans="1:12" x14ac:dyDescent="0.25">
      <c r="A5">
        <v>10</v>
      </c>
      <c r="B5">
        <v>10</v>
      </c>
      <c r="C5">
        <v>10</v>
      </c>
      <c r="D5">
        <v>10</v>
      </c>
      <c r="E5">
        <v>10</v>
      </c>
      <c r="F5">
        <v>10</v>
      </c>
      <c r="G5" s="29">
        <v>1</v>
      </c>
      <c r="H5">
        <v>1.2383833779961664</v>
      </c>
      <c r="I5">
        <v>2.9680582529092323</v>
      </c>
      <c r="J5">
        <v>2.3535213513229456</v>
      </c>
      <c r="K5">
        <v>4.0105258577893323</v>
      </c>
      <c r="L5" s="30">
        <v>7.4225763270725782</v>
      </c>
    </row>
    <row r="6" spans="1:12" x14ac:dyDescent="0.25">
      <c r="A6">
        <v>15</v>
      </c>
      <c r="B6">
        <v>15</v>
      </c>
      <c r="C6">
        <v>15</v>
      </c>
      <c r="D6">
        <v>15</v>
      </c>
      <c r="E6">
        <v>15</v>
      </c>
      <c r="F6">
        <v>15</v>
      </c>
      <c r="G6" s="29">
        <v>1</v>
      </c>
      <c r="H6">
        <v>0.9637569564356564</v>
      </c>
      <c r="I6">
        <v>2.1424657276989842</v>
      </c>
      <c r="J6">
        <v>2.1837430409048864</v>
      </c>
      <c r="K6">
        <v>3.4587308676162114</v>
      </c>
      <c r="L6" s="30">
        <v>4.2996887087759674</v>
      </c>
    </row>
    <row r="7" spans="1:12" x14ac:dyDescent="0.25">
      <c r="A7">
        <v>20</v>
      </c>
      <c r="B7">
        <v>20</v>
      </c>
      <c r="C7">
        <v>20</v>
      </c>
      <c r="D7">
        <v>20</v>
      </c>
      <c r="E7">
        <v>20</v>
      </c>
      <c r="F7">
        <v>20</v>
      </c>
      <c r="G7" s="29">
        <v>1</v>
      </c>
      <c r="H7">
        <v>1.0953186041898324</v>
      </c>
      <c r="I7">
        <v>3.1644278324791082</v>
      </c>
      <c r="J7">
        <v>2.1744594992798785</v>
      </c>
      <c r="K7">
        <v>2.4910925688173888</v>
      </c>
      <c r="L7" s="30">
        <v>2.9993001190963282</v>
      </c>
    </row>
    <row r="8" spans="1:12" x14ac:dyDescent="0.25">
      <c r="G8" s="29">
        <v>1</v>
      </c>
      <c r="H8">
        <v>0.3205593587197717</v>
      </c>
      <c r="I8">
        <v>0.76726215499515449</v>
      </c>
      <c r="J8">
        <v>6.8049154735622702E-2</v>
      </c>
      <c r="K8">
        <v>0.55613150504377573</v>
      </c>
      <c r="L8" s="30">
        <v>0.88451860074889022</v>
      </c>
    </row>
    <row r="9" spans="1:12" x14ac:dyDescent="0.25">
      <c r="G9" s="29">
        <v>1</v>
      </c>
      <c r="H9">
        <v>0.38446553887855001</v>
      </c>
      <c r="I9">
        <v>0.38877974969818963</v>
      </c>
      <c r="J9">
        <v>0.37500276978855479</v>
      </c>
      <c r="K9">
        <v>0.33717114998553921</v>
      </c>
      <c r="L9" s="30">
        <v>0.97337068479612976</v>
      </c>
    </row>
    <row r="10" spans="1:12" x14ac:dyDescent="0.25">
      <c r="G10" s="29">
        <v>1</v>
      </c>
      <c r="H10">
        <v>0.93944271188414696</v>
      </c>
      <c r="I10">
        <v>0.4910248812566359</v>
      </c>
      <c r="J10">
        <v>0.46905282029785522</v>
      </c>
      <c r="K10">
        <v>2.7716327250185269</v>
      </c>
      <c r="L10" s="30">
        <v>2.0193575399765114</v>
      </c>
    </row>
    <row r="11" spans="1:12" x14ac:dyDescent="0.25">
      <c r="G11" s="29">
        <v>1</v>
      </c>
      <c r="H11">
        <v>1.7540806759920136</v>
      </c>
      <c r="I11">
        <v>1.2808401536335507</v>
      </c>
      <c r="J11">
        <v>1.1724413571310122</v>
      </c>
      <c r="K11">
        <v>1.7879807225328772</v>
      </c>
      <c r="L11" s="30">
        <v>6.5299863565550345</v>
      </c>
    </row>
    <row r="12" spans="1:12" x14ac:dyDescent="0.25">
      <c r="G12" s="29">
        <v>1</v>
      </c>
      <c r="H12">
        <v>1.3877902904326309</v>
      </c>
      <c r="I12">
        <v>1.0208490004775448</v>
      </c>
      <c r="J12">
        <v>1.298556324942973</v>
      </c>
      <c r="K12">
        <v>1.8959123648619578</v>
      </c>
      <c r="L12" s="30">
        <v>3.9395870005589271</v>
      </c>
    </row>
    <row r="13" spans="1:12" x14ac:dyDescent="0.25">
      <c r="G13" s="29">
        <v>1</v>
      </c>
      <c r="H13">
        <v>1.5419158368956434</v>
      </c>
      <c r="I13">
        <v>1.088096139841974</v>
      </c>
      <c r="J13">
        <v>1.6237690787519741</v>
      </c>
      <c r="K13">
        <v>2.084616224949468</v>
      </c>
      <c r="L13" s="30">
        <v>4.770529176225522</v>
      </c>
    </row>
    <row r="14" spans="1:12" x14ac:dyDescent="0.25">
      <c r="G14" s="29">
        <v>1</v>
      </c>
      <c r="H14">
        <v>1.6948706024094653</v>
      </c>
      <c r="I14">
        <v>1.0739324521301434</v>
      </c>
      <c r="J14">
        <v>2.3220803607600597</v>
      </c>
      <c r="K14">
        <v>2.4529655234908225</v>
      </c>
      <c r="L14" s="30">
        <v>4.5749227435202204</v>
      </c>
    </row>
    <row r="15" spans="1:12" x14ac:dyDescent="0.25">
      <c r="G15" s="29">
        <v>1</v>
      </c>
      <c r="H15">
        <v>1.6389379702618065</v>
      </c>
      <c r="I15">
        <v>0.92385387679852482</v>
      </c>
      <c r="J15">
        <v>1.6308438330224493</v>
      </c>
      <c r="K15">
        <v>2.5800709041037568</v>
      </c>
      <c r="L15" s="30">
        <v>2.9753511850945342</v>
      </c>
    </row>
    <row r="16" spans="1:12" ht="15.75" thickBot="1" x14ac:dyDescent="0.3">
      <c r="G16" s="31">
        <v>1</v>
      </c>
      <c r="H16" s="32">
        <v>0.93149940349971472</v>
      </c>
      <c r="I16" s="32">
        <v>0.94693616684156778</v>
      </c>
      <c r="J16" s="32">
        <v>1.9765425540757031</v>
      </c>
      <c r="K16" s="32">
        <v>2.1247368111551603</v>
      </c>
      <c r="L16" s="33">
        <v>2.6274910876225781</v>
      </c>
    </row>
    <row r="17" spans="7:12" x14ac:dyDescent="0.25">
      <c r="G17" s="26">
        <v>1</v>
      </c>
      <c r="H17" s="27">
        <v>1.9131949491802185</v>
      </c>
      <c r="I17" s="27">
        <v>1.6198887593175098</v>
      </c>
      <c r="J17" s="27">
        <v>2.6920337769497249</v>
      </c>
      <c r="K17" s="27">
        <v>2.5098191381122534</v>
      </c>
      <c r="L17" s="28">
        <v>5.3150446114411327</v>
      </c>
    </row>
    <row r="18" spans="7:12" x14ac:dyDescent="0.25">
      <c r="G18" s="29">
        <v>1</v>
      </c>
      <c r="H18">
        <v>2.3514885027608616</v>
      </c>
      <c r="I18">
        <v>1.9116498844658136</v>
      </c>
      <c r="J18">
        <v>2.4110777280282085</v>
      </c>
      <c r="K18">
        <v>4.7227196809074679</v>
      </c>
      <c r="L18" s="30">
        <v>4.5563470845750071</v>
      </c>
    </row>
    <row r="19" spans="7:12" x14ac:dyDescent="0.25">
      <c r="G19" s="29">
        <v>1</v>
      </c>
      <c r="H19">
        <v>1.9895217960294576</v>
      </c>
      <c r="I19">
        <v>1.9352357776919722</v>
      </c>
      <c r="J19">
        <v>0.68482208520170695</v>
      </c>
      <c r="K19">
        <v>6.0268127487143506</v>
      </c>
      <c r="L19" s="30">
        <v>4.0996732243858371</v>
      </c>
    </row>
    <row r="20" spans="7:12" x14ac:dyDescent="0.25">
      <c r="G20" s="29">
        <v>1</v>
      </c>
      <c r="H20">
        <v>0.91121573600494399</v>
      </c>
      <c r="I20">
        <v>1.0881378793316794</v>
      </c>
      <c r="J20">
        <v>0.7610568873482747</v>
      </c>
      <c r="K20">
        <v>1.9618373393805684</v>
      </c>
      <c r="L20" s="30">
        <v>3.1201984262606355</v>
      </c>
    </row>
    <row r="21" spans="7:12" x14ac:dyDescent="0.25">
      <c r="G21" s="29">
        <v>1</v>
      </c>
      <c r="H21">
        <v>0.69719166566514057</v>
      </c>
      <c r="I21">
        <v>0.64837556124070816</v>
      </c>
      <c r="J21">
        <v>1.5723440689038624</v>
      </c>
      <c r="K21">
        <v>1.3496695224648874</v>
      </c>
      <c r="L21" s="30">
        <v>1.8713721588971117</v>
      </c>
    </row>
    <row r="22" spans="7:12" x14ac:dyDescent="0.25">
      <c r="G22" s="29">
        <v>1</v>
      </c>
      <c r="H22">
        <v>0.76827331791796283</v>
      </c>
      <c r="I22">
        <v>1.1424285208641132</v>
      </c>
      <c r="J22">
        <v>0.63570915016412444</v>
      </c>
      <c r="K22">
        <v>2.9925600542293576</v>
      </c>
      <c r="L22" s="30">
        <v>2.7486008186770468</v>
      </c>
    </row>
    <row r="23" spans="7:12" x14ac:dyDescent="0.25">
      <c r="G23" s="29">
        <v>1</v>
      </c>
      <c r="H23">
        <v>0.36079592379681846</v>
      </c>
      <c r="I23">
        <v>0.42963050898667166</v>
      </c>
      <c r="J23">
        <v>0.38338053803019023</v>
      </c>
      <c r="K23">
        <v>2.8762020654798008</v>
      </c>
      <c r="L23" s="30">
        <v>1.6602702601647086</v>
      </c>
    </row>
    <row r="24" spans="7:12" x14ac:dyDescent="0.25">
      <c r="G24" s="29">
        <v>1</v>
      </c>
      <c r="H24">
        <v>1.0326775702384359</v>
      </c>
      <c r="I24">
        <v>0.94799989842804999</v>
      </c>
      <c r="J24">
        <v>0.98527531424244974</v>
      </c>
      <c r="K24">
        <v>1.9438109351583897</v>
      </c>
      <c r="L24" s="30">
        <v>1.7760000423020874</v>
      </c>
    </row>
    <row r="25" spans="7:12" x14ac:dyDescent="0.25">
      <c r="G25" s="29">
        <v>1</v>
      </c>
      <c r="H25">
        <v>1.0239847278407583</v>
      </c>
      <c r="I25">
        <v>1.263985781073597</v>
      </c>
      <c r="J25">
        <v>1.0844513654205137</v>
      </c>
      <c r="K25">
        <v>1.4809350544530855</v>
      </c>
      <c r="L25" s="30">
        <v>3.1165759253871359</v>
      </c>
    </row>
    <row r="26" spans="7:12" x14ac:dyDescent="0.25">
      <c r="G26" s="29">
        <v>1</v>
      </c>
      <c r="H26">
        <v>0.58175818492672482</v>
      </c>
      <c r="I26">
        <v>0.73885104312311123</v>
      </c>
      <c r="J26">
        <v>1.6241048654515731</v>
      </c>
      <c r="K26">
        <v>1.7783151895023002</v>
      </c>
      <c r="L26" s="30">
        <v>1.3302113488104592</v>
      </c>
    </row>
    <row r="27" spans="7:12" x14ac:dyDescent="0.25">
      <c r="G27" s="29">
        <v>1</v>
      </c>
      <c r="H27">
        <v>1.2501474879748717</v>
      </c>
      <c r="I27">
        <v>1.8252648686767547</v>
      </c>
      <c r="J27">
        <v>1.0117292882648601</v>
      </c>
      <c r="K27">
        <v>2.7630387542542838</v>
      </c>
      <c r="L27" s="30">
        <v>1.2370888649663547</v>
      </c>
    </row>
    <row r="28" spans="7:12" x14ac:dyDescent="0.25">
      <c r="G28" s="29">
        <v>1</v>
      </c>
      <c r="H28">
        <v>1.082228807713659</v>
      </c>
      <c r="I28">
        <v>1.3575353635223384</v>
      </c>
      <c r="J28">
        <v>1.0288095154650281</v>
      </c>
      <c r="K28">
        <v>2.947954891293409</v>
      </c>
      <c r="L28" s="30">
        <v>1.6033839265887566</v>
      </c>
    </row>
    <row r="29" spans="7:12" x14ac:dyDescent="0.25">
      <c r="G29" s="29">
        <v>1</v>
      </c>
      <c r="H29">
        <v>1.4024977443272986</v>
      </c>
      <c r="I29">
        <v>2.0299651036978585</v>
      </c>
      <c r="J29">
        <v>1.9380318292631031</v>
      </c>
      <c r="K29">
        <v>2.7451582759090436</v>
      </c>
      <c r="L29" s="30">
        <v>4.3098732867380161</v>
      </c>
    </row>
    <row r="30" spans="7:12" x14ac:dyDescent="0.25">
      <c r="G30" s="29">
        <v>1</v>
      </c>
      <c r="H30">
        <v>0.7705559334123715</v>
      </c>
      <c r="I30">
        <v>1.183051922697796</v>
      </c>
      <c r="J30">
        <v>1.1516128562202821</v>
      </c>
      <c r="K30">
        <v>2.0915404861683284</v>
      </c>
      <c r="L30" s="30">
        <v>2.3183906447124483</v>
      </c>
    </row>
    <row r="31" spans="7:12" ht="15.75" thickBot="1" x14ac:dyDescent="0.3">
      <c r="G31" s="31">
        <v>1</v>
      </c>
      <c r="H31" s="32">
        <v>0.88407714986803265</v>
      </c>
      <c r="I31" s="32">
        <v>0.82655065562068786</v>
      </c>
      <c r="J31" s="32">
        <v>1.1025676327561882</v>
      </c>
      <c r="K31" s="32">
        <v>1.3916355300307264</v>
      </c>
      <c r="L31" s="33">
        <v>3.625801791535876</v>
      </c>
    </row>
    <row r="32" spans="7:12" x14ac:dyDescent="0.25">
      <c r="G32" s="26">
        <v>1</v>
      </c>
      <c r="H32" s="27">
        <v>1.4798946104103894</v>
      </c>
      <c r="I32" s="27">
        <v>6.2087494670974239</v>
      </c>
      <c r="J32" s="27">
        <v>3.7000687195633351</v>
      </c>
      <c r="K32" s="27">
        <v>4.4499425625351661</v>
      </c>
      <c r="L32" s="28">
        <v>4.673259508046689</v>
      </c>
    </row>
    <row r="33" spans="7:12" x14ac:dyDescent="0.25">
      <c r="G33" s="29">
        <v>1</v>
      </c>
      <c r="H33">
        <v>1.7220238065249973</v>
      </c>
      <c r="I33">
        <v>7.5238892782977977</v>
      </c>
      <c r="J33">
        <v>6.9337239433338373</v>
      </c>
      <c r="K33">
        <v>5.4656568489265505</v>
      </c>
      <c r="L33" s="30">
        <v>10.761764017612771</v>
      </c>
    </row>
    <row r="34" spans="7:12" x14ac:dyDescent="0.25">
      <c r="G34" s="29">
        <v>1</v>
      </c>
      <c r="H34">
        <v>1.4546959090006637</v>
      </c>
      <c r="I34">
        <v>9.2357080598057433</v>
      </c>
      <c r="J34">
        <v>3.757215840216527</v>
      </c>
      <c r="K34">
        <v>7.9172470071888599</v>
      </c>
      <c r="L34" s="30">
        <v>11.147488905973521</v>
      </c>
    </row>
    <row r="35" spans="7:12" x14ac:dyDescent="0.25">
      <c r="G35" s="29">
        <v>1</v>
      </c>
      <c r="H35">
        <v>1.0192377303153213</v>
      </c>
      <c r="I35">
        <v>3.1496101554733467</v>
      </c>
      <c r="J35">
        <v>2.1200170460543886</v>
      </c>
      <c r="K35">
        <v>3.3348138288786378</v>
      </c>
      <c r="L35" s="30">
        <v>3.0096273101247633</v>
      </c>
    </row>
    <row r="36" spans="7:12" x14ac:dyDescent="0.25">
      <c r="G36" s="29">
        <v>1</v>
      </c>
      <c r="H36">
        <v>1.1642146471686632</v>
      </c>
      <c r="I36">
        <v>4.5626852373233042</v>
      </c>
      <c r="J36">
        <v>2.760586594142314</v>
      </c>
      <c r="K36">
        <v>4.2388357439275914</v>
      </c>
      <c r="L36" s="30">
        <v>2.9437416881159462</v>
      </c>
    </row>
    <row r="37" spans="7:12" x14ac:dyDescent="0.25">
      <c r="G37" s="29">
        <v>1</v>
      </c>
      <c r="H37">
        <v>0.41253712335015896</v>
      </c>
      <c r="I37">
        <v>13.371537531655525</v>
      </c>
      <c r="J37">
        <v>2.1114439915281431</v>
      </c>
      <c r="K37">
        <v>3.407182341969516</v>
      </c>
      <c r="L37" s="30">
        <v>2.5596607823305617</v>
      </c>
    </row>
    <row r="38" spans="7:12" x14ac:dyDescent="0.25">
      <c r="G38" s="29">
        <v>1</v>
      </c>
      <c r="H38">
        <v>1.3448485098382794</v>
      </c>
      <c r="I38">
        <v>3.7879143989015263</v>
      </c>
      <c r="J38">
        <v>1.7367565279153949</v>
      </c>
      <c r="K38">
        <v>3.023169836266268</v>
      </c>
      <c r="L38" s="30">
        <v>4.9026790147587418</v>
      </c>
    </row>
    <row r="39" spans="7:12" x14ac:dyDescent="0.25">
      <c r="G39" s="29">
        <v>1</v>
      </c>
      <c r="H39">
        <v>1.6543512964952034</v>
      </c>
      <c r="I39">
        <v>6.5536989934950753</v>
      </c>
      <c r="J39">
        <v>1.1527971745773984</v>
      </c>
      <c r="K39">
        <v>2.9569799148400797</v>
      </c>
      <c r="L39" s="30">
        <v>14.077105023215127</v>
      </c>
    </row>
    <row r="40" spans="7:12" x14ac:dyDescent="0.25">
      <c r="G40" s="29">
        <v>1</v>
      </c>
      <c r="H40">
        <v>1.7503436386935189</v>
      </c>
      <c r="I40">
        <v>5.2296065018458915</v>
      </c>
      <c r="J40">
        <v>1.0160478817946248</v>
      </c>
      <c r="K40">
        <v>1.2366154625582837</v>
      </c>
      <c r="L40" s="30">
        <v>5.7342661919439539</v>
      </c>
    </row>
    <row r="41" spans="7:12" x14ac:dyDescent="0.25">
      <c r="G41" s="29">
        <v>1</v>
      </c>
      <c r="H41">
        <v>6.344818767405207</v>
      </c>
      <c r="I41">
        <v>1.6664971346810324</v>
      </c>
      <c r="J41">
        <v>2.6609244447763643</v>
      </c>
      <c r="K41">
        <v>2.43585242668986</v>
      </c>
      <c r="L41" s="30">
        <v>11.271115521609941</v>
      </c>
    </row>
    <row r="42" spans="7:12" x14ac:dyDescent="0.25">
      <c r="G42" s="29">
        <v>1</v>
      </c>
      <c r="H42">
        <v>4.861936905704626</v>
      </c>
      <c r="I42">
        <v>6.041433083421504</v>
      </c>
      <c r="J42">
        <v>4.8994174533634522</v>
      </c>
      <c r="K42">
        <f>AVERAGE(K41,K43)</f>
        <v>1.638642537355258</v>
      </c>
      <c r="L42" s="30">
        <v>14.659978964956485</v>
      </c>
    </row>
    <row r="43" spans="7:12" x14ac:dyDescent="0.25">
      <c r="G43" s="29">
        <v>1</v>
      </c>
      <c r="H43">
        <v>3.7919504631052239</v>
      </c>
      <c r="I43">
        <v>3.1478819237380087</v>
      </c>
      <c r="J43">
        <v>2.6932348457651485</v>
      </c>
      <c r="K43">
        <v>0.84143264802065609</v>
      </c>
      <c r="L43" s="30">
        <v>7.5555600301546892</v>
      </c>
    </row>
    <row r="44" spans="7:12" x14ac:dyDescent="0.25">
      <c r="G44" s="29">
        <v>1</v>
      </c>
      <c r="H44">
        <v>3.0719816074536976</v>
      </c>
      <c r="I44">
        <v>5.8408548684679955</v>
      </c>
      <c r="J44">
        <v>2.8966980515719252</v>
      </c>
      <c r="K44">
        <v>5.8857730622616034</v>
      </c>
      <c r="L44" s="30">
        <v>9.3087770788289497</v>
      </c>
    </row>
    <row r="45" spans="7:12" x14ac:dyDescent="0.25">
      <c r="G45" s="29">
        <v>1</v>
      </c>
      <c r="H45">
        <v>1.6581229534534505</v>
      </c>
      <c r="I45">
        <v>1.576909023503104</v>
      </c>
      <c r="J45">
        <v>0.7647729170518287</v>
      </c>
      <c r="K45">
        <v>1.7584268067585951</v>
      </c>
      <c r="L45" s="30">
        <v>2.3762278591205486</v>
      </c>
    </row>
    <row r="46" spans="7:12" ht="15.75" thickBot="1" x14ac:dyDescent="0.3">
      <c r="G46" s="31">
        <v>1</v>
      </c>
      <c r="H46" s="32">
        <v>4.5249413862468169</v>
      </c>
      <c r="I46" s="32">
        <v>7.273336371716125</v>
      </c>
      <c r="J46" s="32">
        <v>1.3394738654040164</v>
      </c>
      <c r="K46" s="32">
        <v>6.5725378059410362</v>
      </c>
      <c r="L46" s="33">
        <v>7.4389747683255525</v>
      </c>
    </row>
    <row r="47" spans="7:12" x14ac:dyDescent="0.25">
      <c r="G47" s="26">
        <v>1</v>
      </c>
      <c r="H47" s="27">
        <v>2.3403168498866584</v>
      </c>
      <c r="I47" s="27">
        <v>2.022654026180752</v>
      </c>
      <c r="J47" s="27">
        <v>0.83862507213351045</v>
      </c>
      <c r="K47" s="27">
        <v>2.1143422727253349</v>
      </c>
      <c r="L47" s="28">
        <v>8.6415980770345993</v>
      </c>
    </row>
    <row r="48" spans="7:12" x14ac:dyDescent="0.25">
      <c r="G48" s="29">
        <v>1</v>
      </c>
      <c r="H48">
        <v>2.9697975084006685</v>
      </c>
      <c r="I48">
        <v>1.9256569822164724</v>
      </c>
      <c r="J48">
        <v>2.4358587328176307</v>
      </c>
      <c r="K48">
        <v>2.9949783430974937</v>
      </c>
      <c r="L48" s="30">
        <v>10.957843967053716</v>
      </c>
    </row>
    <row r="49" spans="7:12" x14ac:dyDescent="0.25">
      <c r="G49" s="29">
        <v>1</v>
      </c>
      <c r="H49">
        <v>2.1333322005276942</v>
      </c>
      <c r="I49">
        <v>1.3348183703295711</v>
      </c>
      <c r="J49">
        <v>1.7186503241364244</v>
      </c>
      <c r="K49">
        <v>1.8819330484665846</v>
      </c>
      <c r="L49" s="30">
        <v>7.9837882211915057</v>
      </c>
    </row>
    <row r="50" spans="7:12" x14ac:dyDescent="0.25">
      <c r="G50" s="29">
        <v>1</v>
      </c>
      <c r="H50">
        <v>1.7412284506049867</v>
      </c>
      <c r="I50">
        <v>2.3254467847226343</v>
      </c>
      <c r="J50">
        <v>1.7489832029027654</v>
      </c>
      <c r="K50">
        <v>1.3991255183697382</v>
      </c>
      <c r="L50" s="30">
        <v>7.5161538232435268</v>
      </c>
    </row>
    <row r="51" spans="7:12" x14ac:dyDescent="0.25">
      <c r="G51" s="29">
        <v>1</v>
      </c>
      <c r="H51">
        <v>1.5160737635749744</v>
      </c>
      <c r="I51">
        <v>1.9990513119161937</v>
      </c>
      <c r="J51">
        <v>1.474009745798186</v>
      </c>
      <c r="K51">
        <v>1.6024470879368735</v>
      </c>
      <c r="L51" s="30">
        <v>5.45756476990426</v>
      </c>
    </row>
    <row r="52" spans="7:12" x14ac:dyDescent="0.25">
      <c r="G52" s="29">
        <v>1</v>
      </c>
      <c r="H52">
        <v>1.6074044242151673</v>
      </c>
      <c r="I52">
        <v>1.4084249411556233</v>
      </c>
      <c r="J52">
        <v>1.450242082183868</v>
      </c>
      <c r="K52">
        <v>1.8426898804574958</v>
      </c>
      <c r="L52" s="30">
        <v>5.2038654885412212</v>
      </c>
    </row>
    <row r="53" spans="7:12" x14ac:dyDescent="0.25">
      <c r="G53" s="29">
        <v>1</v>
      </c>
      <c r="H53">
        <v>0.88592722360070764</v>
      </c>
      <c r="I53">
        <v>1.0992492836828556</v>
      </c>
      <c r="J53">
        <v>1.7600621896550028</v>
      </c>
      <c r="K53">
        <v>1.7021130940744458</v>
      </c>
      <c r="L53" s="30">
        <v>2.7628371266303211</v>
      </c>
    </row>
    <row r="54" spans="7:12" x14ac:dyDescent="0.25">
      <c r="G54" s="29">
        <v>1</v>
      </c>
      <c r="H54">
        <v>0.88309905866525362</v>
      </c>
      <c r="I54">
        <v>1.7287488954637407</v>
      </c>
      <c r="J54">
        <v>1.8380973978414323</v>
      </c>
      <c r="K54">
        <v>1.7849395993587862</v>
      </c>
      <c r="L54" s="30">
        <v>2.3762097104069495</v>
      </c>
    </row>
    <row r="55" spans="7:12" x14ac:dyDescent="0.25">
      <c r="G55" s="29">
        <v>1</v>
      </c>
      <c r="H55">
        <v>0.8404568448906391</v>
      </c>
      <c r="I55">
        <v>1.8532469665309323</v>
      </c>
      <c r="J55">
        <v>1.7803285366101009</v>
      </c>
      <c r="K55">
        <v>2.8821105478372626</v>
      </c>
      <c r="L55" s="30">
        <v>2.4441838883110405</v>
      </c>
    </row>
    <row r="56" spans="7:12" x14ac:dyDescent="0.25">
      <c r="G56" s="29">
        <v>1</v>
      </c>
      <c r="H56">
        <v>0.71175064871216753</v>
      </c>
      <c r="I56">
        <v>0.96683473094866013</v>
      </c>
      <c r="J56">
        <v>2.2007208784693026</v>
      </c>
      <c r="K56">
        <v>3.1827135704625613</v>
      </c>
      <c r="L56" s="30">
        <v>2.8335385045792991</v>
      </c>
    </row>
    <row r="57" spans="7:12" x14ac:dyDescent="0.25">
      <c r="G57" s="29">
        <v>1</v>
      </c>
      <c r="H57">
        <v>0.7954206648401444</v>
      </c>
      <c r="I57">
        <v>1.0786676886362365</v>
      </c>
      <c r="J57">
        <v>1.8533108898068402</v>
      </c>
      <c r="K57">
        <v>1.656617004014969</v>
      </c>
      <c r="L57" s="30">
        <v>2.8578557090361651</v>
      </c>
    </row>
    <row r="58" spans="7:12" x14ac:dyDescent="0.25">
      <c r="G58" s="29">
        <v>1</v>
      </c>
      <c r="H58">
        <v>0.9039072380101022</v>
      </c>
      <c r="I58">
        <v>0.88151847735477717</v>
      </c>
      <c r="J58">
        <v>2.3829428662386785</v>
      </c>
      <c r="K58">
        <v>2.9070364730564737</v>
      </c>
      <c r="L58" s="30">
        <v>2.3687748479895991</v>
      </c>
    </row>
    <row r="59" spans="7:12" x14ac:dyDescent="0.25">
      <c r="G59" s="29">
        <v>1</v>
      </c>
      <c r="H59">
        <v>0.93305434351154815</v>
      </c>
      <c r="I59">
        <v>0.67936178177381812</v>
      </c>
      <c r="J59">
        <v>1.1712771110072981</v>
      </c>
      <c r="K59">
        <v>2.1047355500609113</v>
      </c>
      <c r="L59" s="30">
        <v>1.8252200116418089</v>
      </c>
    </row>
    <row r="60" spans="7:12" x14ac:dyDescent="0.25">
      <c r="G60" s="29">
        <v>1</v>
      </c>
      <c r="H60">
        <v>1.380081669157714</v>
      </c>
      <c r="I60">
        <v>1.285810951841043</v>
      </c>
      <c r="J60">
        <v>1.4750018486830978</v>
      </c>
      <c r="K60">
        <v>3.2161702739899969</v>
      </c>
      <c r="L60" s="30">
        <v>3.6615410323883126</v>
      </c>
    </row>
    <row r="61" spans="7:12" ht="15.75" thickBot="1" x14ac:dyDescent="0.3">
      <c r="G61" s="31">
        <v>1</v>
      </c>
      <c r="H61" s="32">
        <v>3.0072007408951182</v>
      </c>
      <c r="I61" s="32">
        <v>2.4037067984542655</v>
      </c>
      <c r="J61" s="32">
        <v>2.957389659622462</v>
      </c>
      <c r="K61" s="32">
        <v>7.2039872995388103</v>
      </c>
      <c r="L61" s="33">
        <v>7.4835604154789701</v>
      </c>
    </row>
    <row r="62" spans="7:12" x14ac:dyDescent="0.25">
      <c r="G62" s="26">
        <v>1</v>
      </c>
      <c r="H62" s="27">
        <v>0.66693627010594625</v>
      </c>
      <c r="I62" s="27">
        <v>1.1319624629076657</v>
      </c>
      <c r="J62" s="27">
        <v>1.6251098810567259</v>
      </c>
      <c r="K62" s="27">
        <v>1.9817055712422638</v>
      </c>
      <c r="L62" s="28">
        <v>2.6155837449685788</v>
      </c>
    </row>
    <row r="63" spans="7:12" x14ac:dyDescent="0.25">
      <c r="G63" s="29">
        <v>1</v>
      </c>
      <c r="H63">
        <v>0.55462567517571371</v>
      </c>
      <c r="I63">
        <v>1.0194379246740599</v>
      </c>
      <c r="J63">
        <v>1.8556440240199517</v>
      </c>
      <c r="K63">
        <v>1.7290261712273285</v>
      </c>
      <c r="L63" s="30">
        <v>2.1799718630858207</v>
      </c>
    </row>
    <row r="64" spans="7:12" x14ac:dyDescent="0.25">
      <c r="G64" s="29">
        <v>1</v>
      </c>
      <c r="H64">
        <v>0.76097245010822012</v>
      </c>
      <c r="I64">
        <v>1.1999627702802145</v>
      </c>
      <c r="J64">
        <v>1.4934170830955289</v>
      </c>
      <c r="K64">
        <v>1.9340820915475001</v>
      </c>
      <c r="L64" s="30">
        <v>2.2657645495643988</v>
      </c>
    </row>
    <row r="65" spans="7:12" x14ac:dyDescent="0.25">
      <c r="G65" s="29">
        <v>1</v>
      </c>
      <c r="H65">
        <v>1.8901796946151814</v>
      </c>
      <c r="I65">
        <v>1.0177863817539803</v>
      </c>
      <c r="J65">
        <v>1.8400540038015887</v>
      </c>
      <c r="K65">
        <v>2.1409823334828801</v>
      </c>
      <c r="L65" s="30">
        <v>4.8491657903771257</v>
      </c>
    </row>
    <row r="66" spans="7:12" x14ac:dyDescent="0.25">
      <c r="G66" s="29">
        <v>1</v>
      </c>
      <c r="H66">
        <v>1.711765950841464</v>
      </c>
      <c r="I66">
        <v>1.4406581630332533</v>
      </c>
      <c r="J66">
        <v>2.2782602574058908</v>
      </c>
      <c r="K66">
        <v>2.7893175706092364</v>
      </c>
      <c r="L66" s="30">
        <v>5.3399573328196208</v>
      </c>
    </row>
    <row r="67" spans="7:12" x14ac:dyDescent="0.25">
      <c r="G67" s="29">
        <v>1</v>
      </c>
      <c r="H67">
        <v>2.7733358386167191</v>
      </c>
      <c r="I67">
        <v>2.3596282644501247</v>
      </c>
      <c r="J67">
        <v>3.413520760039372</v>
      </c>
      <c r="K67">
        <v>4.4472236038537609</v>
      </c>
      <c r="L67" s="30">
        <v>9.0344641828691987</v>
      </c>
    </row>
    <row r="68" spans="7:12" x14ac:dyDescent="0.25">
      <c r="G68" s="29">
        <v>1</v>
      </c>
      <c r="H68">
        <v>1.2641049217047176</v>
      </c>
      <c r="I68">
        <v>2.8600891360322116</v>
      </c>
      <c r="J68">
        <v>2.7045671183663273</v>
      </c>
      <c r="K68">
        <v>3.4222971329956544</v>
      </c>
      <c r="L68" s="30">
        <v>5.9355615000114321</v>
      </c>
    </row>
    <row r="69" spans="7:12" x14ac:dyDescent="0.25">
      <c r="G69" s="29">
        <v>1</v>
      </c>
      <c r="H69">
        <v>0.81170810217530642</v>
      </c>
      <c r="I69">
        <v>1.8722201981689612</v>
      </c>
      <c r="J69">
        <v>1.4236574032756852</v>
      </c>
      <c r="K69">
        <v>2.0837119742172465</v>
      </c>
      <c r="L69" s="30">
        <v>3.1854740069703631</v>
      </c>
    </row>
    <row r="70" spans="7:12" x14ac:dyDescent="0.25">
      <c r="G70" s="29">
        <v>1</v>
      </c>
      <c r="H70">
        <v>1.0215950271036998</v>
      </c>
      <c r="I70">
        <v>2.1178268966657017</v>
      </c>
      <c r="J70">
        <v>1.633893944363791</v>
      </c>
      <c r="K70">
        <v>2.2541921543319758</v>
      </c>
      <c r="L70" s="30">
        <v>3.3126653640224242</v>
      </c>
    </row>
    <row r="71" spans="7:12" x14ac:dyDescent="0.25">
      <c r="G71" s="29">
        <v>1</v>
      </c>
      <c r="H71">
        <v>1.5504350930174811</v>
      </c>
      <c r="I71">
        <v>1.4837563370842759</v>
      </c>
      <c r="J71">
        <v>3.2556706097112027</v>
      </c>
      <c r="K71">
        <v>2.3619555184937431</v>
      </c>
      <c r="L71" s="30">
        <v>3.4150825322038711</v>
      </c>
    </row>
    <row r="72" spans="7:12" x14ac:dyDescent="0.25">
      <c r="G72" s="29">
        <v>1</v>
      </c>
      <c r="H72">
        <v>1.4316193606717815</v>
      </c>
      <c r="I72">
        <v>1.8043146166550919</v>
      </c>
      <c r="J72">
        <v>3.4462425417762823</v>
      </c>
      <c r="K72">
        <v>2.6471026560232147</v>
      </c>
      <c r="L72" s="30">
        <v>3.3782631731330506</v>
      </c>
    </row>
    <row r="73" spans="7:12" x14ac:dyDescent="0.25">
      <c r="G73" s="29">
        <v>1</v>
      </c>
      <c r="H73">
        <v>2.0102464578612671</v>
      </c>
      <c r="I73">
        <v>2.3808862950217824</v>
      </c>
      <c r="J73">
        <v>5.2544496349480978</v>
      </c>
      <c r="K73">
        <v>3.8787245454326054</v>
      </c>
      <c r="L73" s="30">
        <v>5.0014791971661614</v>
      </c>
    </row>
    <row r="74" spans="7:12" x14ac:dyDescent="0.25">
      <c r="G74" s="29">
        <v>1</v>
      </c>
      <c r="H74">
        <v>1.4705910795952493</v>
      </c>
      <c r="I74">
        <v>1.6684126187377188</v>
      </c>
      <c r="J74">
        <v>3.9192143746595649</v>
      </c>
      <c r="K74">
        <v>2.8801599209727415</v>
      </c>
      <c r="L74" s="30">
        <v>3.8588557494924376</v>
      </c>
    </row>
    <row r="75" spans="7:12" x14ac:dyDescent="0.25">
      <c r="G75" s="29">
        <v>1</v>
      </c>
      <c r="H75">
        <v>1.1736032166576349</v>
      </c>
      <c r="I75">
        <v>1.5389844135854711</v>
      </c>
      <c r="J75">
        <v>2.7025531923025716</v>
      </c>
      <c r="K75">
        <v>2.8724180195819859</v>
      </c>
      <c r="L75" s="30">
        <v>2.9935662608419191</v>
      </c>
    </row>
    <row r="76" spans="7:12" ht="15.75" thickBot="1" x14ac:dyDescent="0.3">
      <c r="G76" s="31">
        <v>1</v>
      </c>
      <c r="H76" s="32">
        <v>1.274196556922699</v>
      </c>
      <c r="I76" s="32">
        <v>1.928035112656479</v>
      </c>
      <c r="J76" s="32">
        <v>2.6368286725002452</v>
      </c>
      <c r="K76" s="32">
        <v>2.6241516512541487</v>
      </c>
      <c r="L76" s="33">
        <v>3.0953366085775604</v>
      </c>
    </row>
  </sheetData>
  <mergeCells count="2">
    <mergeCell ref="G1:L1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0B6-3888-44CA-AF03-D0547F413B0A}">
  <dimension ref="A1:F25"/>
  <sheetViews>
    <sheetView workbookViewId="0">
      <selection activeCell="G15" sqref="G15"/>
    </sheetView>
  </sheetViews>
  <sheetFormatPr defaultRowHeight="15" x14ac:dyDescent="0.25"/>
  <sheetData>
    <row r="1" spans="1:6" x14ac:dyDescent="0.25">
      <c r="A1">
        <v>1</v>
      </c>
      <c r="B1">
        <v>0.25605940778426445</v>
      </c>
      <c r="C1">
        <v>0.39871069076682392</v>
      </c>
      <c r="D1">
        <v>0.34254262808726327</v>
      </c>
      <c r="E1">
        <v>0.42645187344644908</v>
      </c>
      <c r="F1">
        <v>0.63972831708851541</v>
      </c>
    </row>
    <row r="2" spans="1:6" x14ac:dyDescent="0.25">
      <c r="A2">
        <v>1</v>
      </c>
      <c r="B2">
        <v>1.0991529795405517</v>
      </c>
      <c r="C2">
        <v>2.7583172710291084</v>
      </c>
      <c r="D2">
        <v>2.2372412971692368</v>
      </c>
      <c r="E2">
        <v>3.3201164314076443</v>
      </c>
      <c r="F2">
        <v>4.907188384981624</v>
      </c>
    </row>
    <row r="3" spans="1:6" x14ac:dyDescent="0.25">
      <c r="A3">
        <v>1</v>
      </c>
      <c r="B3">
        <v>0.54815586982748954</v>
      </c>
      <c r="C3">
        <v>0.5490222619833266</v>
      </c>
      <c r="D3">
        <v>0.30403491494067758</v>
      </c>
      <c r="E3">
        <v>1.221645126682614</v>
      </c>
      <c r="F3">
        <v>1.2924156085071772</v>
      </c>
    </row>
    <row r="4" spans="1:6" x14ac:dyDescent="0.25">
      <c r="A4">
        <v>1</v>
      </c>
      <c r="B4">
        <v>1.5612622677734294</v>
      </c>
      <c r="C4">
        <v>1.1299284313176898</v>
      </c>
      <c r="D4">
        <v>1.3649222536086532</v>
      </c>
      <c r="E4">
        <v>1.9228364374481011</v>
      </c>
      <c r="F4">
        <v>5.0800341777798286</v>
      </c>
    </row>
    <row r="5" spans="1:6" x14ac:dyDescent="0.25">
      <c r="A5">
        <v>1</v>
      </c>
      <c r="B5">
        <v>1.421769325390329</v>
      </c>
      <c r="C5">
        <v>0.98157416525674535</v>
      </c>
      <c r="D5">
        <v>1.9764889159527375</v>
      </c>
      <c r="E5">
        <v>2.3859244129165798</v>
      </c>
      <c r="F5">
        <v>3.3925883387457776</v>
      </c>
    </row>
    <row r="6" spans="1:6" x14ac:dyDescent="0.25">
      <c r="A6">
        <v>1</v>
      </c>
      <c r="B6">
        <v>2.0847350826568456</v>
      </c>
      <c r="C6">
        <v>1.8222581404917653</v>
      </c>
      <c r="D6">
        <v>1.9293111967265466</v>
      </c>
      <c r="E6">
        <v>4.4197838559113576</v>
      </c>
      <c r="F6">
        <v>4.6570216401339923</v>
      </c>
    </row>
    <row r="7" spans="1:6" x14ac:dyDescent="0.25">
      <c r="A7">
        <v>1</v>
      </c>
      <c r="B7">
        <v>0.79222690652934913</v>
      </c>
      <c r="C7">
        <v>0.9596473204788335</v>
      </c>
      <c r="D7">
        <v>0.98970336880542054</v>
      </c>
      <c r="E7">
        <v>2.1013556386916044</v>
      </c>
      <c r="F7">
        <v>2.5800571346115979</v>
      </c>
    </row>
    <row r="8" spans="1:6" x14ac:dyDescent="0.25">
      <c r="A8">
        <v>1</v>
      </c>
      <c r="B8">
        <v>0.80581940729200419</v>
      </c>
      <c r="C8">
        <v>0.88053872949610623</v>
      </c>
      <c r="D8">
        <v>0.81770240589771781</v>
      </c>
      <c r="E8">
        <v>2.1003160183637584</v>
      </c>
      <c r="F8">
        <v>2.1842820759513106</v>
      </c>
    </row>
    <row r="9" spans="1:6" x14ac:dyDescent="0.25">
      <c r="A9">
        <v>1</v>
      </c>
      <c r="B9">
        <v>0.97137816020508527</v>
      </c>
      <c r="C9">
        <v>1.3072170917740682</v>
      </c>
      <c r="D9">
        <v>1.2215478897271537</v>
      </c>
      <c r="E9">
        <v>2.4964362783499978</v>
      </c>
      <c r="F9">
        <v>1.3902280467885235</v>
      </c>
    </row>
    <row r="10" spans="1:6" x14ac:dyDescent="0.25">
      <c r="A10">
        <v>1</v>
      </c>
      <c r="B10">
        <v>1.0190436092025676</v>
      </c>
      <c r="C10">
        <v>1.3465225606721141</v>
      </c>
      <c r="D10">
        <v>1.3974041060798579</v>
      </c>
      <c r="E10">
        <v>2.0761114307026993</v>
      </c>
      <c r="F10">
        <v>3.4180219076621134</v>
      </c>
    </row>
    <row r="11" spans="1:6" x14ac:dyDescent="0.25">
      <c r="A11">
        <v>1</v>
      </c>
      <c r="B11">
        <v>1.5522047753120169</v>
      </c>
      <c r="C11">
        <v>7.6561156017336556</v>
      </c>
      <c r="D11">
        <v>4.7970028343712334</v>
      </c>
      <c r="E11">
        <v>5.9442821395501921</v>
      </c>
      <c r="F11">
        <v>8.8608374772109944</v>
      </c>
    </row>
    <row r="12" spans="1:6" x14ac:dyDescent="0.25">
      <c r="A12">
        <v>1</v>
      </c>
      <c r="B12">
        <v>0.86532983361138116</v>
      </c>
      <c r="C12">
        <v>7.0279443081507251</v>
      </c>
      <c r="D12">
        <v>2.3306825439082819</v>
      </c>
      <c r="E12">
        <v>3.6602773049252484</v>
      </c>
      <c r="F12">
        <v>2.8376765935237569</v>
      </c>
    </row>
    <row r="13" spans="1:6" x14ac:dyDescent="0.25">
      <c r="A13">
        <v>1</v>
      </c>
      <c r="B13">
        <v>1.5831811483423337</v>
      </c>
      <c r="C13">
        <v>5.1904066314141639</v>
      </c>
      <c r="D13">
        <v>1.3018671947624727</v>
      </c>
      <c r="E13">
        <v>2.405588404554877</v>
      </c>
      <c r="F13">
        <v>8.2380167433059412</v>
      </c>
    </row>
    <row r="14" spans="1:6" x14ac:dyDescent="0.25">
      <c r="A14">
        <v>1</v>
      </c>
      <c r="B14">
        <v>4.9995687120716852</v>
      </c>
      <c r="C14">
        <v>3.6186040472801815</v>
      </c>
      <c r="D14">
        <v>3.4178589146349885</v>
      </c>
      <c r="E14">
        <v>3.2472397957909229</v>
      </c>
      <c r="F14">
        <v>11.162218172240372</v>
      </c>
    </row>
    <row r="15" spans="1:6" x14ac:dyDescent="0.25">
      <c r="A15">
        <v>1</v>
      </c>
      <c r="B15">
        <v>3.0850153157179885</v>
      </c>
      <c r="C15">
        <v>4.8970334212290751</v>
      </c>
      <c r="D15">
        <v>1.6669816113425899</v>
      </c>
      <c r="E15">
        <v>4.7389125583204113</v>
      </c>
      <c r="F15">
        <v>6.3746599020916834</v>
      </c>
    </row>
    <row r="16" spans="1:6" x14ac:dyDescent="0.25">
      <c r="A16">
        <v>1</v>
      </c>
      <c r="B16">
        <v>2.4811488529383405</v>
      </c>
      <c r="C16">
        <v>1.7610431262422652</v>
      </c>
      <c r="D16">
        <v>1.6643780430291886</v>
      </c>
      <c r="E16">
        <v>2.3304178880964712</v>
      </c>
      <c r="F16">
        <v>9.194410088426606</v>
      </c>
    </row>
    <row r="17" spans="1:6" x14ac:dyDescent="0.25">
      <c r="A17">
        <v>1</v>
      </c>
      <c r="B17">
        <v>1.6215688794650429</v>
      </c>
      <c r="C17">
        <v>1.9109743459314839</v>
      </c>
      <c r="D17">
        <v>1.5577450102949397</v>
      </c>
      <c r="E17">
        <v>1.6147541622547024</v>
      </c>
      <c r="F17">
        <v>6.0591946938963366</v>
      </c>
    </row>
    <row r="18" spans="1:6" x14ac:dyDescent="0.25">
      <c r="A18">
        <v>1</v>
      </c>
      <c r="B18">
        <v>0.86982770905220008</v>
      </c>
      <c r="C18">
        <v>1.5604150485591761</v>
      </c>
      <c r="D18">
        <v>1.7928293747021788</v>
      </c>
      <c r="E18">
        <v>2.1230544137568317</v>
      </c>
      <c r="F18">
        <v>2.5277435751161037</v>
      </c>
    </row>
    <row r="19" spans="1:6" x14ac:dyDescent="0.25">
      <c r="A19">
        <v>1</v>
      </c>
      <c r="B19">
        <v>0.80369285052080475</v>
      </c>
      <c r="C19">
        <v>0.97567363231322457</v>
      </c>
      <c r="D19">
        <v>2.1456582115049407</v>
      </c>
      <c r="E19">
        <v>3.0931388407237632</v>
      </c>
      <c r="F19">
        <v>2.686723020535021</v>
      </c>
    </row>
    <row r="20" spans="1:6" x14ac:dyDescent="0.25">
      <c r="A20">
        <v>1</v>
      </c>
      <c r="B20">
        <v>1.7734455845214601</v>
      </c>
      <c r="C20">
        <v>1.4562931773563754</v>
      </c>
      <c r="D20">
        <v>1.8678895397709525</v>
      </c>
      <c r="E20">
        <v>4.1749643745299059</v>
      </c>
      <c r="F20">
        <v>4.3234404865030305</v>
      </c>
    </row>
    <row r="21" spans="1:6" x14ac:dyDescent="0.25">
      <c r="A21">
        <v>1</v>
      </c>
      <c r="B21">
        <v>0.66084479846329336</v>
      </c>
      <c r="C21">
        <v>1.1171210526206468</v>
      </c>
      <c r="D21">
        <v>1.6580569960574021</v>
      </c>
      <c r="E21">
        <v>1.881604611339031</v>
      </c>
      <c r="F21">
        <v>2.3537733858729326</v>
      </c>
    </row>
    <row r="22" spans="1:6" x14ac:dyDescent="0.25">
      <c r="A22">
        <v>1</v>
      </c>
      <c r="B22">
        <v>2.1250938280244545</v>
      </c>
      <c r="C22">
        <v>1.6060242697457863</v>
      </c>
      <c r="D22">
        <v>2.5106116737489503</v>
      </c>
      <c r="E22">
        <v>3.1258411693152923</v>
      </c>
      <c r="F22">
        <v>6.4078624353553151</v>
      </c>
    </row>
    <row r="23" spans="1:6" x14ac:dyDescent="0.25">
      <c r="A23">
        <v>1</v>
      </c>
      <c r="B23">
        <v>1.0324693503279079</v>
      </c>
      <c r="C23">
        <v>2.2833787436222912</v>
      </c>
      <c r="D23">
        <v>1.920706155335268</v>
      </c>
      <c r="E23">
        <v>2.5867337538482924</v>
      </c>
      <c r="F23">
        <v>4.1445669570014063</v>
      </c>
    </row>
    <row r="24" spans="1:6" x14ac:dyDescent="0.25">
      <c r="A24">
        <v>1</v>
      </c>
      <c r="B24">
        <v>1.6641003038501765</v>
      </c>
      <c r="C24">
        <v>1.8896524162537167</v>
      </c>
      <c r="D24">
        <v>3.9854542621451947</v>
      </c>
      <c r="E24">
        <v>2.5712049468516356</v>
      </c>
      <c r="F24">
        <v>3.9316083008343612</v>
      </c>
    </row>
    <row r="25" spans="1:6" x14ac:dyDescent="0.25">
      <c r="A25">
        <v>1</v>
      </c>
      <c r="B25">
        <v>1.306130284391861</v>
      </c>
      <c r="C25">
        <v>1.7118107149932229</v>
      </c>
      <c r="D25">
        <v>3.0861987464874603</v>
      </c>
      <c r="E25">
        <v>2.7922431972696256</v>
      </c>
      <c r="F25">
        <v>3.3159195396373051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6029-8F96-4302-80FF-F8C8CEF094D7}">
  <dimension ref="A1:G14"/>
  <sheetViews>
    <sheetView zoomScaleNormal="100" workbookViewId="0">
      <selection activeCell="A2" sqref="A2:G7"/>
    </sheetView>
  </sheetViews>
  <sheetFormatPr defaultColWidth="8.85546875" defaultRowHeight="15" x14ac:dyDescent="0.25"/>
  <sheetData>
    <row r="1" spans="1:7" x14ac:dyDescent="0.25">
      <c r="A1" s="50" t="s">
        <v>120</v>
      </c>
      <c r="B1" s="50"/>
      <c r="C1" s="50"/>
      <c r="D1" s="50"/>
      <c r="E1" s="50"/>
      <c r="F1" s="50"/>
      <c r="G1" s="50"/>
    </row>
    <row r="2" spans="1:7" x14ac:dyDescent="0.25">
      <c r="B2">
        <v>0</v>
      </c>
      <c r="C2">
        <v>10</v>
      </c>
      <c r="D2">
        <v>20</v>
      </c>
      <c r="E2">
        <v>30</v>
      </c>
      <c r="F2">
        <v>60</v>
      </c>
      <c r="G2">
        <v>90</v>
      </c>
    </row>
    <row r="3" spans="1:7" x14ac:dyDescent="0.25">
      <c r="A3" t="s">
        <v>126</v>
      </c>
      <c r="B3">
        <v>1</v>
      </c>
      <c r="C3">
        <v>0.97727997006321277</v>
      </c>
      <c r="D3">
        <v>1.1635105640707388</v>
      </c>
      <c r="E3">
        <v>1.2450460019517138</v>
      </c>
      <c r="F3">
        <v>1.8553948563802778</v>
      </c>
      <c r="G3">
        <v>3.0623909654205845</v>
      </c>
    </row>
    <row r="4" spans="1:7" x14ac:dyDescent="0.25">
      <c r="A4" t="s">
        <v>127</v>
      </c>
      <c r="B4">
        <v>1</v>
      </c>
      <c r="C4">
        <v>1.1346406331771703</v>
      </c>
      <c r="D4">
        <v>1.2632367685825776</v>
      </c>
      <c r="E4">
        <v>1.2711337934473392</v>
      </c>
      <c r="F4">
        <v>2.6388006444038838</v>
      </c>
      <c r="G4">
        <v>2.8459221610295078</v>
      </c>
    </row>
    <row r="5" spans="1:7" x14ac:dyDescent="0.25">
      <c r="A5" t="s">
        <v>128</v>
      </c>
      <c r="B5">
        <v>1</v>
      </c>
      <c r="C5">
        <v>2.4170599570110811</v>
      </c>
      <c r="D5">
        <v>5.6780208019615603</v>
      </c>
      <c r="E5">
        <v>2.7028786198039136</v>
      </c>
      <c r="F5">
        <v>4.0495729914570164</v>
      </c>
      <c r="G5">
        <v>7.4946817776745505</v>
      </c>
    </row>
    <row r="6" spans="1:7" x14ac:dyDescent="0.25">
      <c r="A6" t="s">
        <v>129</v>
      </c>
      <c r="B6">
        <v>1</v>
      </c>
      <c r="C6">
        <v>1.5099367752995696</v>
      </c>
      <c r="D6">
        <v>1.532879866080505</v>
      </c>
      <c r="E6">
        <v>1.8057000358604403</v>
      </c>
      <c r="F6">
        <v>2.7243468400983728</v>
      </c>
      <c r="G6">
        <v>4.9583023728954192</v>
      </c>
    </row>
    <row r="7" spans="1:7" x14ac:dyDescent="0.25">
      <c r="A7" t="s">
        <v>130</v>
      </c>
      <c r="B7">
        <v>1</v>
      </c>
      <c r="C7">
        <v>1.3577277130115386</v>
      </c>
      <c r="D7">
        <v>1.7215974394471327</v>
      </c>
      <c r="E7">
        <v>2.632205566754855</v>
      </c>
      <c r="F7">
        <v>2.6527682900797296</v>
      </c>
      <c r="G7">
        <v>4.0307461237402649</v>
      </c>
    </row>
    <row r="9" spans="1:7" x14ac:dyDescent="0.25">
      <c r="A9" s="50" t="s">
        <v>121</v>
      </c>
      <c r="B9" s="50"/>
      <c r="C9" s="50"/>
      <c r="D9" s="50"/>
      <c r="E9" s="50"/>
      <c r="F9" s="50"/>
    </row>
    <row r="10" spans="1:7" x14ac:dyDescent="0.25">
      <c r="A10" t="s">
        <v>104</v>
      </c>
      <c r="B10">
        <v>0</v>
      </c>
      <c r="C10">
        <v>0.5501806191749764</v>
      </c>
      <c r="D10">
        <v>0.87775753926406241</v>
      </c>
      <c r="E10">
        <v>0.82758566167331804</v>
      </c>
      <c r="F10">
        <v>1.1484934450106024</v>
      </c>
      <c r="G10">
        <v>2.1177591969085898</v>
      </c>
    </row>
    <row r="11" spans="1:7" x14ac:dyDescent="0.25">
      <c r="A11" t="s">
        <v>103</v>
      </c>
      <c r="B11">
        <v>0</v>
      </c>
      <c r="C11">
        <v>0.54181943369528862</v>
      </c>
      <c r="D11">
        <v>0.49000344141505348</v>
      </c>
      <c r="E11">
        <v>0.63558819378539444</v>
      </c>
      <c r="F11">
        <v>1.2296601390391442</v>
      </c>
      <c r="G11">
        <v>1.2572852875807614</v>
      </c>
    </row>
    <row r="12" spans="1:7" x14ac:dyDescent="0.25">
      <c r="A12" t="s">
        <v>105</v>
      </c>
      <c r="B12">
        <v>0</v>
      </c>
      <c r="C12">
        <v>1.6481933484491584</v>
      </c>
      <c r="D12">
        <v>2.9408629486203046</v>
      </c>
      <c r="E12">
        <v>1.578180186184712</v>
      </c>
      <c r="F12">
        <v>1.9894160250737853</v>
      </c>
      <c r="G12">
        <v>4.0447789050295473</v>
      </c>
    </row>
    <row r="13" spans="1:7" x14ac:dyDescent="0.25">
      <c r="A13" t="s">
        <v>106</v>
      </c>
      <c r="B13">
        <v>0</v>
      </c>
      <c r="C13">
        <v>0.75759522111470678</v>
      </c>
      <c r="D13">
        <v>0.52422937225912591</v>
      </c>
      <c r="E13">
        <v>0.51075327464848341</v>
      </c>
      <c r="F13">
        <v>1.3807117139426155</v>
      </c>
      <c r="G13">
        <v>2.7914373247890154</v>
      </c>
    </row>
    <row r="14" spans="1:7" x14ac:dyDescent="0.25">
      <c r="A14" t="s">
        <v>107</v>
      </c>
      <c r="B14">
        <v>0</v>
      </c>
      <c r="C14">
        <v>0.56762423999270062</v>
      </c>
      <c r="D14">
        <v>0.52579296601080638</v>
      </c>
      <c r="E14">
        <v>1.0433505377100061</v>
      </c>
      <c r="F14">
        <v>0.73392231620301107</v>
      </c>
      <c r="G14">
        <v>1.7233702111526339</v>
      </c>
    </row>
  </sheetData>
  <mergeCells count="2">
    <mergeCell ref="A9:F9"/>
    <mergeCell ref="A1:G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148B-38C5-B043-BD9B-C0089525E266}">
  <dimension ref="A1:G21"/>
  <sheetViews>
    <sheetView zoomScale="70" zoomScaleNormal="70" workbookViewId="0">
      <selection activeCell="F26" sqref="F26"/>
    </sheetView>
  </sheetViews>
  <sheetFormatPr defaultColWidth="10.85546875" defaultRowHeight="15" x14ac:dyDescent="0.25"/>
  <sheetData>
    <row r="1" spans="1:7" x14ac:dyDescent="0.25">
      <c r="A1" t="s">
        <v>120</v>
      </c>
    </row>
    <row r="2" spans="1:7" x14ac:dyDescent="0.25">
      <c r="B2">
        <v>0</v>
      </c>
      <c r="C2">
        <v>10</v>
      </c>
      <c r="D2">
        <v>20</v>
      </c>
      <c r="E2">
        <v>30</v>
      </c>
      <c r="F2">
        <v>60</v>
      </c>
      <c r="G2">
        <v>90</v>
      </c>
    </row>
    <row r="3" spans="1:7" x14ac:dyDescent="0.25">
      <c r="A3" t="s">
        <v>104</v>
      </c>
      <c r="B3">
        <v>1</v>
      </c>
      <c r="C3">
        <v>0.97727997006321277</v>
      </c>
      <c r="D3">
        <v>1.1635105640707388</v>
      </c>
      <c r="E3">
        <v>1.2450460019517138</v>
      </c>
      <c r="F3">
        <v>1.8553948563802778</v>
      </c>
      <c r="G3">
        <v>3.0623909654205845</v>
      </c>
    </row>
    <row r="4" spans="1:7" x14ac:dyDescent="0.25">
      <c r="A4" t="s">
        <v>103</v>
      </c>
      <c r="B4">
        <v>1</v>
      </c>
      <c r="C4">
        <v>1.1346406331771703</v>
      </c>
      <c r="D4">
        <v>1.2632367685825776</v>
      </c>
      <c r="E4">
        <v>1.2711337934473392</v>
      </c>
      <c r="F4">
        <v>2.6388006444038838</v>
      </c>
      <c r="G4">
        <v>2.8459221610295078</v>
      </c>
    </row>
    <row r="5" spans="1:7" x14ac:dyDescent="0.25">
      <c r="A5" t="s">
        <v>105</v>
      </c>
      <c r="B5">
        <v>1</v>
      </c>
      <c r="C5">
        <v>2.4170599570110811</v>
      </c>
      <c r="D5">
        <v>5.6780208019615603</v>
      </c>
      <c r="E5">
        <v>2.7028786198039136</v>
      </c>
      <c r="F5">
        <v>4.0495729914570164</v>
      </c>
      <c r="G5">
        <v>7.4946817776745505</v>
      </c>
    </row>
    <row r="6" spans="1:7" x14ac:dyDescent="0.25">
      <c r="A6" t="s">
        <v>106</v>
      </c>
      <c r="B6">
        <v>1</v>
      </c>
      <c r="C6">
        <v>1.5099367752995696</v>
      </c>
      <c r="D6">
        <v>1.532879866080505</v>
      </c>
      <c r="E6">
        <v>1.8057000358604403</v>
      </c>
      <c r="F6">
        <v>2.7243468400983728</v>
      </c>
      <c r="G6">
        <v>4.9583023728954192</v>
      </c>
    </row>
    <row r="7" spans="1:7" x14ac:dyDescent="0.25">
      <c r="A7" t="s">
        <v>107</v>
      </c>
      <c r="B7">
        <v>1</v>
      </c>
      <c r="C7">
        <v>1.3577277130115386</v>
      </c>
      <c r="D7">
        <v>1.7215974394471327</v>
      </c>
      <c r="E7">
        <v>2.632205566754855</v>
      </c>
      <c r="F7">
        <v>2.6527682900797296</v>
      </c>
      <c r="G7">
        <v>4.0307461237402649</v>
      </c>
    </row>
    <row r="9" spans="1:7" x14ac:dyDescent="0.25">
      <c r="A9" t="s">
        <v>121</v>
      </c>
    </row>
    <row r="10" spans="1:7" x14ac:dyDescent="0.25">
      <c r="A10" t="s">
        <v>104</v>
      </c>
      <c r="B10">
        <v>0</v>
      </c>
      <c r="C10">
        <v>0.5501806191749764</v>
      </c>
      <c r="D10">
        <v>0.87775753926406241</v>
      </c>
      <c r="E10">
        <v>0.82758566167331804</v>
      </c>
      <c r="F10">
        <v>1.1484934450106024</v>
      </c>
      <c r="G10">
        <v>2.1177591969085898</v>
      </c>
    </row>
    <row r="11" spans="1:7" x14ac:dyDescent="0.25">
      <c r="A11" t="s">
        <v>103</v>
      </c>
      <c r="B11">
        <v>0</v>
      </c>
      <c r="C11">
        <v>0.54181943369528862</v>
      </c>
      <c r="D11">
        <v>0.49000344141505348</v>
      </c>
      <c r="E11">
        <v>0.63558819378539444</v>
      </c>
      <c r="F11">
        <v>1.2296601390391442</v>
      </c>
      <c r="G11">
        <v>1.2572852875807614</v>
      </c>
    </row>
    <row r="12" spans="1:7" x14ac:dyDescent="0.25">
      <c r="A12" t="s">
        <v>105</v>
      </c>
      <c r="B12">
        <v>0</v>
      </c>
      <c r="C12">
        <v>1.6481933484491584</v>
      </c>
      <c r="D12">
        <v>2.9408629486203046</v>
      </c>
      <c r="E12">
        <v>1.578180186184712</v>
      </c>
      <c r="F12">
        <v>1.9894160250737853</v>
      </c>
      <c r="G12">
        <v>4.0447789050295473</v>
      </c>
    </row>
    <row r="13" spans="1:7" x14ac:dyDescent="0.25">
      <c r="A13" t="s">
        <v>106</v>
      </c>
      <c r="B13">
        <v>0</v>
      </c>
      <c r="C13">
        <v>0.75759522111470678</v>
      </c>
      <c r="D13">
        <v>0.52422937225912591</v>
      </c>
      <c r="E13">
        <v>0.51075327464848341</v>
      </c>
      <c r="F13">
        <v>1.3807117139426155</v>
      </c>
      <c r="G13">
        <v>2.7914373247890154</v>
      </c>
    </row>
    <row r="14" spans="1:7" x14ac:dyDescent="0.25">
      <c r="A14" t="s">
        <v>107</v>
      </c>
      <c r="B14">
        <v>0</v>
      </c>
      <c r="C14">
        <v>0.56762423999270062</v>
      </c>
      <c r="D14">
        <v>0.52579296601080638</v>
      </c>
      <c r="E14">
        <v>1.0433505377100061</v>
      </c>
      <c r="F14">
        <v>0.73392231620301107</v>
      </c>
      <c r="G14">
        <v>1.7233702111526339</v>
      </c>
    </row>
    <row r="17" spans="1:1" x14ac:dyDescent="0.25">
      <c r="A17">
        <v>0</v>
      </c>
    </row>
    <row r="18" spans="1:1" x14ac:dyDescent="0.25">
      <c r="A18">
        <v>5</v>
      </c>
    </row>
    <row r="19" spans="1:1" x14ac:dyDescent="0.25">
      <c r="A19">
        <v>10</v>
      </c>
    </row>
    <row r="20" spans="1:1" x14ac:dyDescent="0.25">
      <c r="A20">
        <v>15</v>
      </c>
    </row>
    <row r="21" spans="1:1" x14ac:dyDescent="0.25">
      <c r="A21">
        <v>20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1D85-94FA-4A2B-A7C6-E4DAFD95FC18}">
  <dimension ref="A1:BE127"/>
  <sheetViews>
    <sheetView topLeftCell="P21" zoomScale="70" zoomScaleNormal="70" workbookViewId="0">
      <selection activeCell="BF92" sqref="BF92"/>
    </sheetView>
  </sheetViews>
  <sheetFormatPr defaultRowHeight="15" x14ac:dyDescent="0.25"/>
  <cols>
    <col min="1" max="1" width="10.7109375" bestFit="1" customWidth="1"/>
  </cols>
  <sheetData>
    <row r="1" spans="1:57" ht="15.75" thickBot="1" x14ac:dyDescent="0.3">
      <c r="A1" s="50" t="s">
        <v>126</v>
      </c>
      <c r="B1" s="50"/>
      <c r="C1" s="50"/>
      <c r="D1" s="50"/>
      <c r="E1" s="50"/>
      <c r="F1" s="50"/>
      <c r="G1" s="50"/>
      <c r="J1" s="50" t="s">
        <v>131</v>
      </c>
      <c r="K1" s="50"/>
      <c r="L1" s="50"/>
      <c r="M1" s="50"/>
      <c r="N1" s="50"/>
    </row>
    <row r="2" spans="1:57" ht="15.75" thickBot="1" x14ac:dyDescent="0.3">
      <c r="A2" t="s">
        <v>110</v>
      </c>
      <c r="B2">
        <v>0</v>
      </c>
      <c r="C2">
        <v>10</v>
      </c>
      <c r="D2">
        <v>20</v>
      </c>
      <c r="E2">
        <v>30</v>
      </c>
      <c r="F2">
        <v>60</v>
      </c>
      <c r="G2">
        <v>90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P2" s="26" t="s">
        <v>177</v>
      </c>
      <c r="Q2" s="27"/>
      <c r="R2" s="27"/>
      <c r="S2" s="27"/>
      <c r="T2" s="27"/>
      <c r="U2" s="27"/>
      <c r="V2" s="27"/>
      <c r="W2" s="27"/>
      <c r="X2" s="27"/>
      <c r="Y2" s="27"/>
      <c r="Z2" s="27" t="s">
        <v>160</v>
      </c>
      <c r="AA2" s="27"/>
      <c r="AB2" s="27"/>
      <c r="AC2" s="27" t="s">
        <v>161</v>
      </c>
      <c r="AD2" s="27">
        <v>0.05</v>
      </c>
      <c r="AE2" s="27"/>
      <c r="AF2" s="27"/>
      <c r="AG2" s="27"/>
      <c r="AH2" s="27"/>
      <c r="AI2" s="28"/>
      <c r="AL2" s="26" t="s">
        <v>184</v>
      </c>
      <c r="AM2" s="27"/>
      <c r="AN2" s="27"/>
      <c r="AO2" s="27"/>
      <c r="AP2" s="27"/>
      <c r="AQ2" s="27"/>
      <c r="AR2" s="27"/>
      <c r="AS2" s="27"/>
      <c r="AT2" s="27"/>
      <c r="AU2" s="27"/>
      <c r="AV2" s="27" t="s">
        <v>160</v>
      </c>
      <c r="AW2" s="27"/>
      <c r="AX2" s="27"/>
      <c r="AY2" s="27" t="s">
        <v>161</v>
      </c>
      <c r="AZ2" s="27">
        <v>0.05</v>
      </c>
      <c r="BA2" s="27"/>
      <c r="BB2" s="27"/>
      <c r="BC2" s="27"/>
      <c r="BD2" s="27"/>
      <c r="BE2" s="28"/>
    </row>
    <row r="3" spans="1:57" ht="15.75" thickTop="1" x14ac:dyDescent="0.25">
      <c r="A3" t="s">
        <v>98</v>
      </c>
      <c r="B3">
        <v>1</v>
      </c>
      <c r="C3">
        <v>0.25605940778426445</v>
      </c>
      <c r="D3">
        <v>0.39871069076682392</v>
      </c>
      <c r="E3">
        <v>0.34254262808726327</v>
      </c>
      <c r="F3">
        <v>0.42645187344644908</v>
      </c>
      <c r="G3">
        <v>0.63972831708851541</v>
      </c>
      <c r="J3">
        <v>0.25605940778426445</v>
      </c>
      <c r="K3">
        <v>2.0847350826568456</v>
      </c>
      <c r="L3">
        <v>1.5522047753120169</v>
      </c>
      <c r="M3">
        <v>2.4811488529383405</v>
      </c>
      <c r="N3">
        <v>0.66084479846329336</v>
      </c>
      <c r="P3" s="29"/>
      <c r="Z3" s="36" t="s">
        <v>162</v>
      </c>
      <c r="AA3" s="36" t="s">
        <v>163</v>
      </c>
      <c r="AB3" s="36" t="s">
        <v>164</v>
      </c>
      <c r="AC3" s="36" t="s">
        <v>165</v>
      </c>
      <c r="AD3" s="36" t="s">
        <v>150</v>
      </c>
      <c r="AE3" s="36" t="s">
        <v>166</v>
      </c>
      <c r="AI3" s="30"/>
      <c r="AL3" s="29"/>
      <c r="AV3" s="36" t="s">
        <v>162</v>
      </c>
      <c r="AW3" s="36" t="s">
        <v>163</v>
      </c>
      <c r="AX3" s="36" t="s">
        <v>164</v>
      </c>
      <c r="AY3" s="36" t="s">
        <v>165</v>
      </c>
      <c r="AZ3" s="36" t="s">
        <v>150</v>
      </c>
      <c r="BA3" s="36" t="s">
        <v>166</v>
      </c>
      <c r="BE3" s="30"/>
    </row>
    <row r="4" spans="1:57" ht="15.75" thickBot="1" x14ac:dyDescent="0.3">
      <c r="A4" t="s">
        <v>99</v>
      </c>
      <c r="B4">
        <v>1</v>
      </c>
      <c r="C4">
        <v>1.0991529795405517</v>
      </c>
      <c r="D4">
        <v>2.7583172710291084</v>
      </c>
      <c r="E4">
        <v>2.2372412971692368</v>
      </c>
      <c r="F4">
        <v>3.3201164314076443</v>
      </c>
      <c r="G4">
        <v>4.907188384981624</v>
      </c>
      <c r="J4">
        <v>1.0991529795405517</v>
      </c>
      <c r="K4">
        <v>0.79222690652934913</v>
      </c>
      <c r="L4">
        <v>0.86532983361138116</v>
      </c>
      <c r="M4">
        <v>1.6215688794650429</v>
      </c>
      <c r="N4">
        <v>2.1250938280244545</v>
      </c>
      <c r="P4" s="29" t="s">
        <v>137</v>
      </c>
      <c r="U4" t="s">
        <v>138</v>
      </c>
      <c r="V4">
        <v>0.05</v>
      </c>
      <c r="Z4" t="str">
        <f>J2</f>
        <v>0 ng/mL</v>
      </c>
      <c r="AA4">
        <f>AVERAGE(J3:J7)</f>
        <v>0.97727997006321277</v>
      </c>
      <c r="AB4">
        <f>COUNT(J3:J7)</f>
        <v>5</v>
      </c>
      <c r="AC4">
        <f>DEVSQ(J3:J7)</f>
        <v>1.2577657343341642</v>
      </c>
      <c r="AI4" s="30"/>
      <c r="AL4" s="29" t="s">
        <v>137</v>
      </c>
      <c r="AQ4" t="s">
        <v>138</v>
      </c>
      <c r="AR4">
        <v>0.05</v>
      </c>
      <c r="AV4">
        <f>B10</f>
        <v>0</v>
      </c>
      <c r="AW4">
        <f>AVERAGE(B11:B15)</f>
        <v>1</v>
      </c>
      <c r="AX4">
        <f>COUNT(B11:B15)</f>
        <v>5</v>
      </c>
      <c r="AY4">
        <f>DEVSQ(B11:B15)</f>
        <v>0</v>
      </c>
      <c r="BE4" s="30"/>
    </row>
    <row r="5" spans="1:57" ht="15.75" thickTop="1" x14ac:dyDescent="0.25">
      <c r="A5" t="s">
        <v>100</v>
      </c>
      <c r="B5">
        <v>1</v>
      </c>
      <c r="C5">
        <v>0.54815586982748954</v>
      </c>
      <c r="D5">
        <v>0.5490222619833266</v>
      </c>
      <c r="E5">
        <v>0.30403491494067758</v>
      </c>
      <c r="F5">
        <v>1.221645126682614</v>
      </c>
      <c r="G5">
        <v>1.2924156085071772</v>
      </c>
      <c r="J5">
        <v>0.54815586982748954</v>
      </c>
      <c r="K5">
        <v>0.80581940729200419</v>
      </c>
      <c r="L5">
        <v>1.5831811483423337</v>
      </c>
      <c r="M5">
        <v>0.86982770905220008</v>
      </c>
      <c r="N5">
        <v>1.0324693503279079</v>
      </c>
      <c r="P5" s="38" t="s">
        <v>139</v>
      </c>
      <c r="Q5" s="36" t="s">
        <v>140</v>
      </c>
      <c r="R5" s="36" t="s">
        <v>141</v>
      </c>
      <c r="S5" s="36" t="s">
        <v>142</v>
      </c>
      <c r="T5" s="36" t="s">
        <v>143</v>
      </c>
      <c r="U5" s="36" t="s">
        <v>144</v>
      </c>
      <c r="V5" s="36" t="s">
        <v>145</v>
      </c>
      <c r="W5" s="36" t="s">
        <v>146</v>
      </c>
      <c r="X5" s="36" t="s">
        <v>147</v>
      </c>
      <c r="Z5" t="str">
        <f>K2</f>
        <v>5 ng/mL</v>
      </c>
      <c r="AA5">
        <f>AVERAGE(K3:K7)</f>
        <v>1.1346406331771703</v>
      </c>
      <c r="AB5">
        <f>COUNT(K3:K7)</f>
        <v>5</v>
      </c>
      <c r="AC5">
        <f>DEVSQ(K3:K7)</f>
        <v>1.1680673287543055</v>
      </c>
      <c r="AI5" s="30"/>
      <c r="AL5" s="38" t="s">
        <v>139</v>
      </c>
      <c r="AM5" s="36" t="s">
        <v>140</v>
      </c>
      <c r="AN5" s="36" t="s">
        <v>141</v>
      </c>
      <c r="AO5" s="36" t="s">
        <v>142</v>
      </c>
      <c r="AP5" s="36" t="s">
        <v>143</v>
      </c>
      <c r="AQ5" s="36" t="s">
        <v>144</v>
      </c>
      <c r="AR5" s="36" t="s">
        <v>145</v>
      </c>
      <c r="AS5" s="36" t="s">
        <v>146</v>
      </c>
      <c r="AT5" s="36" t="s">
        <v>147</v>
      </c>
      <c r="AV5">
        <f>C10</f>
        <v>10</v>
      </c>
      <c r="AW5">
        <f>AVERAGE(C11:C15)</f>
        <v>1.1346406331771703</v>
      </c>
      <c r="AX5">
        <f>COUNT(C11:C15)</f>
        <v>5</v>
      </c>
      <c r="AY5">
        <f>DEVSQ(C11:C15)</f>
        <v>1.1680673287543055</v>
      </c>
      <c r="BE5" s="30"/>
    </row>
    <row r="6" spans="1:57" x14ac:dyDescent="0.25">
      <c r="A6" t="s">
        <v>101</v>
      </c>
      <c r="B6">
        <v>1</v>
      </c>
      <c r="C6">
        <v>1.5612622677734294</v>
      </c>
      <c r="D6">
        <v>1.1299284313176898</v>
      </c>
      <c r="E6">
        <v>1.3649222536086532</v>
      </c>
      <c r="F6">
        <v>1.9228364374481011</v>
      </c>
      <c r="G6">
        <v>5.0800341777798286</v>
      </c>
      <c r="J6">
        <v>1.5612622677734294</v>
      </c>
      <c r="K6">
        <v>0.97137816020508527</v>
      </c>
      <c r="L6">
        <v>4.9995687120716852</v>
      </c>
      <c r="M6">
        <v>0.80369285052080475</v>
      </c>
      <c r="N6">
        <v>1.6641003038501765</v>
      </c>
      <c r="P6" s="29" t="str">
        <f>J2</f>
        <v>0 ng/mL</v>
      </c>
      <c r="Q6">
        <f>COUNT(J3:J7)</f>
        <v>5</v>
      </c>
      <c r="R6">
        <f>SUM(J3:J7)</f>
        <v>4.8863998503160637</v>
      </c>
      <c r="S6">
        <f>AVERAGE(J3:J7)</f>
        <v>0.97727997006321277</v>
      </c>
      <c r="T6">
        <f>_xlfn.VAR.S(J3:J7)</f>
        <v>0.31444143358354126</v>
      </c>
      <c r="U6">
        <f>DEVSQ(J3:J7)</f>
        <v>1.2577657343341642</v>
      </c>
      <c r="V6">
        <f>SQRT(S15/Q6)</f>
        <v>0.40746817363523746</v>
      </c>
      <c r="W6">
        <f>S6-V6*_xlfn.T.INV.2T(V4,R15)</f>
        <v>0.12731625393592683</v>
      </c>
      <c r="X6">
        <f>S6+V6*_xlfn.T.INV.2T(V4,R15)</f>
        <v>1.8272436861904988</v>
      </c>
      <c r="Z6" t="str">
        <f>L2</f>
        <v>10 ng/mL</v>
      </c>
      <c r="AA6">
        <f>AVERAGE(L3:L7)</f>
        <v>2.4170599570110811</v>
      </c>
      <c r="AB6">
        <f>COUNT(L3:L7)</f>
        <v>5</v>
      </c>
      <c r="AC6">
        <f>DEVSQ(L3:L7)</f>
        <v>10.966710559914523</v>
      </c>
      <c r="AI6" s="30"/>
      <c r="AL6" s="29">
        <f>B10</f>
        <v>0</v>
      </c>
      <c r="AM6">
        <f>COUNT(B11:B15)</f>
        <v>5</v>
      </c>
      <c r="AN6">
        <f>SUM(B11:B15)</f>
        <v>5</v>
      </c>
      <c r="AO6">
        <f>AVERAGE(B11:B15)</f>
        <v>1</v>
      </c>
      <c r="AP6">
        <f>_xlfn.VAR.S(B11:B15)</f>
        <v>0</v>
      </c>
      <c r="AQ6">
        <f>DEVSQ(B11:B15)</f>
        <v>0</v>
      </c>
      <c r="AR6">
        <f>SQRT(AO16/AM6)</f>
        <v>0.32643207964279608</v>
      </c>
      <c r="AS6">
        <f>AO6-AR6*_xlfn.T.INV.2T(AR4,AN16)</f>
        <v>0.32627730035598812</v>
      </c>
      <c r="AT6">
        <f>AO6+AR6*_xlfn.T.INV.2T(AR4,AN16)</f>
        <v>1.6737226996440118</v>
      </c>
      <c r="AV6">
        <f>D10</f>
        <v>20</v>
      </c>
      <c r="AW6">
        <f>AVERAGE(D11:D15)</f>
        <v>1.2632367685825776</v>
      </c>
      <c r="AX6">
        <f>COUNT(D11:D15)</f>
        <v>5</v>
      </c>
      <c r="AY6">
        <f>DEVSQ(D11:D15)</f>
        <v>0.56000002836380602</v>
      </c>
      <c r="BE6" s="30"/>
    </row>
    <row r="7" spans="1:57" x14ac:dyDescent="0.25">
      <c r="A7" t="s">
        <v>102</v>
      </c>
      <c r="B7">
        <v>1</v>
      </c>
      <c r="C7">
        <v>1.421769325390329</v>
      </c>
      <c r="D7">
        <v>0.98157416525674535</v>
      </c>
      <c r="E7">
        <v>1.9764889159527375</v>
      </c>
      <c r="F7">
        <v>2.3859244129165798</v>
      </c>
      <c r="G7">
        <v>3.3925883387457776</v>
      </c>
      <c r="J7">
        <v>1.421769325390329</v>
      </c>
      <c r="K7">
        <v>1.0190436092025676</v>
      </c>
      <c r="L7">
        <v>3.0850153157179885</v>
      </c>
      <c r="M7">
        <v>1.7734455845214601</v>
      </c>
      <c r="N7">
        <v>1.306130284391861</v>
      </c>
      <c r="P7" s="29" t="str">
        <f>K2</f>
        <v>5 ng/mL</v>
      </c>
      <c r="Q7">
        <f>COUNT(K3:K7)</f>
        <v>5</v>
      </c>
      <c r="R7">
        <f>SUM(K3:K7)</f>
        <v>5.6732031658858517</v>
      </c>
      <c r="S7">
        <f>AVERAGE(K3:K7)</f>
        <v>1.1346406331771703</v>
      </c>
      <c r="T7">
        <f>_xlfn.VAR.S(K3:K7)</f>
        <v>0.29201683218857633</v>
      </c>
      <c r="U7">
        <f>DEVSQ(K3:K7)</f>
        <v>1.1680673287543055</v>
      </c>
      <c r="V7">
        <f>SQRT(S15/Q7)</f>
        <v>0.40746817363523746</v>
      </c>
      <c r="W7">
        <f>S7-V7*_xlfn.T.INV.2T(V4,R15)</f>
        <v>0.2846769170498844</v>
      </c>
      <c r="X7">
        <f>S7+V7*_xlfn.T.INV.2T(V4,R15)</f>
        <v>1.9846043493044563</v>
      </c>
      <c r="Z7" t="str">
        <f>M2</f>
        <v>15 ng/mL</v>
      </c>
      <c r="AA7">
        <f>AVERAGE(M3:M7)</f>
        <v>1.5099367752995696</v>
      </c>
      <c r="AB7">
        <f>COUNT(M3:M7)</f>
        <v>5</v>
      </c>
      <c r="AC7">
        <f>DEVSQ(M3:M7)</f>
        <v>1.9336716169483608</v>
      </c>
      <c r="AI7" s="30"/>
      <c r="AL7" s="29">
        <f>C10</f>
        <v>10</v>
      </c>
      <c r="AM7">
        <f>COUNT(C11:C15)</f>
        <v>5</v>
      </c>
      <c r="AN7">
        <f>SUM(C11:C15)</f>
        <v>5.6732031658858517</v>
      </c>
      <c r="AO7">
        <f>AVERAGE(C11:C15)</f>
        <v>1.1346406331771703</v>
      </c>
      <c r="AP7">
        <f>_xlfn.VAR.S(C11:C15)</f>
        <v>0.29201683218857633</v>
      </c>
      <c r="AQ7">
        <f>DEVSQ(C11:C15)</f>
        <v>1.1680673287543055</v>
      </c>
      <c r="AR7">
        <f>SQRT(AO16/AM7)</f>
        <v>0.32643207964279608</v>
      </c>
      <c r="AS7">
        <f>AO7-AR7*_xlfn.T.INV.2T(AR4,AN16)</f>
        <v>0.46091793353315846</v>
      </c>
      <c r="AT7">
        <f>AO7+AR7*_xlfn.T.INV.2T(AR4,AN16)</f>
        <v>1.8083633328211821</v>
      </c>
      <c r="AV7">
        <f>E10</f>
        <v>30</v>
      </c>
      <c r="AW7">
        <f>AVERAGE(E11:E15)</f>
        <v>1.2711337934473392</v>
      </c>
      <c r="AX7">
        <f>COUNT(E11:E15)</f>
        <v>5</v>
      </c>
      <c r="AY7">
        <f>DEVSQ(E11:E15)</f>
        <v>0.73640355501672761</v>
      </c>
      <c r="BE7" s="30"/>
    </row>
    <row r="8" spans="1:57" x14ac:dyDescent="0.25">
      <c r="P8" s="29" t="str">
        <f>L2</f>
        <v>10 ng/mL</v>
      </c>
      <c r="Q8">
        <f>COUNT(L3:L7)</f>
        <v>5</v>
      </c>
      <c r="R8">
        <f>SUM(L3:L7)</f>
        <v>12.085299785055406</v>
      </c>
      <c r="S8">
        <f>AVERAGE(L3:L7)</f>
        <v>2.4170599570110811</v>
      </c>
      <c r="T8">
        <f>_xlfn.VAR.S(L3:L7)</f>
        <v>2.7416776399786293</v>
      </c>
      <c r="U8">
        <f>DEVSQ(L3:L7)</f>
        <v>10.966710559914523</v>
      </c>
      <c r="V8">
        <f>SQRT(S15/Q8)</f>
        <v>0.40746817363523746</v>
      </c>
      <c r="W8">
        <f>S8-V8*_xlfn.T.INV.2T(V4,R15)</f>
        <v>1.5670962408837952</v>
      </c>
      <c r="X8">
        <f>S8+V8*_xlfn.T.INV.2T(V4,R15)</f>
        <v>3.2670236731383673</v>
      </c>
      <c r="Z8" t="str">
        <f>N2</f>
        <v>20 ng/mL</v>
      </c>
      <c r="AA8">
        <f>AVERAGE(N3:N7)</f>
        <v>1.3577277130115386</v>
      </c>
      <c r="AB8">
        <f>COUNT(N3:N7)</f>
        <v>5</v>
      </c>
      <c r="AC8">
        <f>DEVSQ(N3:N7)</f>
        <v>1.2768160126122505</v>
      </c>
      <c r="AI8" s="30"/>
      <c r="AL8" s="29">
        <f>D10</f>
        <v>20</v>
      </c>
      <c r="AM8">
        <f>COUNT(D11:D15)</f>
        <v>5</v>
      </c>
      <c r="AN8">
        <f>SUM(D11:D15)</f>
        <v>6.3161838429128876</v>
      </c>
      <c r="AO8">
        <f>AVERAGE(D11:D15)</f>
        <v>1.2632367685825776</v>
      </c>
      <c r="AP8">
        <f>_xlfn.VAR.S(D11:D15)</f>
        <v>0.14000000709095151</v>
      </c>
      <c r="AQ8">
        <f>DEVSQ(D11:D15)</f>
        <v>0.56000002836380602</v>
      </c>
      <c r="AR8">
        <f>SQRT(AO16/AM8)</f>
        <v>0.32643207964279608</v>
      </c>
      <c r="AS8">
        <f>AO8-AR8*_xlfn.T.INV.2T(AR4,AN16)</f>
        <v>0.58951406893856573</v>
      </c>
      <c r="AT8">
        <f>AO8+AR8*_xlfn.T.INV.2T(AR4,AN16)</f>
        <v>1.9369594682265894</v>
      </c>
      <c r="AV8">
        <f>F10</f>
        <v>60</v>
      </c>
      <c r="AW8">
        <f>AVERAGE(F11:F15)</f>
        <v>2.6388006444038838</v>
      </c>
      <c r="AX8">
        <f>COUNT(F11:F15)</f>
        <v>5</v>
      </c>
      <c r="AY8">
        <f>DEVSQ(F11:F15)</f>
        <v>4.0876007902557028</v>
      </c>
      <c r="BE8" s="30"/>
    </row>
    <row r="9" spans="1:57" x14ac:dyDescent="0.25">
      <c r="A9" s="50" t="s">
        <v>127</v>
      </c>
      <c r="B9" s="50"/>
      <c r="C9" s="50"/>
      <c r="D9" s="50"/>
      <c r="E9" s="50"/>
      <c r="F9" s="50"/>
      <c r="G9" s="50"/>
      <c r="J9" s="50" t="s">
        <v>132</v>
      </c>
      <c r="K9" s="50"/>
      <c r="L9" s="50"/>
      <c r="M9" s="50"/>
      <c r="N9" s="50"/>
      <c r="P9" s="29" t="str">
        <f>M2</f>
        <v>15 ng/mL</v>
      </c>
      <c r="Q9">
        <f>COUNT(M3:M7)</f>
        <v>5</v>
      </c>
      <c r="R9">
        <f>SUM(M3:M7)</f>
        <v>7.5496838764978484</v>
      </c>
      <c r="S9">
        <f>AVERAGE(M3:M7)</f>
        <v>1.5099367752995696</v>
      </c>
      <c r="T9">
        <f>_xlfn.VAR.S(M3:M7)</f>
        <v>0.4834179042370903</v>
      </c>
      <c r="U9">
        <f>DEVSQ(M3:M7)</f>
        <v>1.9336716169483608</v>
      </c>
      <c r="V9">
        <f>SQRT(S15/Q9)</f>
        <v>0.40746817363523746</v>
      </c>
      <c r="W9">
        <f>S9-V9*_xlfn.T.INV.2T(V4,R15)</f>
        <v>0.65997305917228366</v>
      </c>
      <c r="X9">
        <f>S9+V9*_xlfn.T.INV.2T(V4,R15)</f>
        <v>2.3599004914268553</v>
      </c>
      <c r="Z9" s="37"/>
      <c r="AA9" s="37"/>
      <c r="AB9" s="37">
        <f>SUM(AB4:AB8)</f>
        <v>25</v>
      </c>
      <c r="AC9" s="37">
        <f>SUM(AC4:AC8)</f>
        <v>16.603031252563603</v>
      </c>
      <c r="AD9" s="37">
        <f>AB9-COUNT(AB4:AB8)</f>
        <v>20</v>
      </c>
      <c r="AE9" s="37">
        <f>[1]!QCRIT(COUNT(AB4:AB8),AD9,AD2,2)</f>
        <v>4.2320000000000002</v>
      </c>
      <c r="AI9" s="30"/>
      <c r="AL9" s="29">
        <f>E10</f>
        <v>30</v>
      </c>
      <c r="AM9">
        <f>COUNT(E11:E15)</f>
        <v>5</v>
      </c>
      <c r="AN9">
        <f>SUM(E11:E15)</f>
        <v>6.3556689672366966</v>
      </c>
      <c r="AO9">
        <f>AVERAGE(E11:E15)</f>
        <v>1.2711337934473392</v>
      </c>
      <c r="AP9">
        <f>_xlfn.VAR.S(E11:E15)</f>
        <v>0.18410088875418218</v>
      </c>
      <c r="AQ9">
        <f>DEVSQ(E11:E15)</f>
        <v>0.73640355501672761</v>
      </c>
      <c r="AR9">
        <f>SQRT(AO16/AM9)</f>
        <v>0.32643207964279608</v>
      </c>
      <c r="AS9">
        <f>AO9-AR9*_xlfn.T.INV.2T(AR4,AN16)</f>
        <v>0.59741109380332735</v>
      </c>
      <c r="AT9">
        <f>AO9+AR9*_xlfn.T.INV.2T(AR4,AN16)</f>
        <v>1.944856493091351</v>
      </c>
      <c r="AV9">
        <f>G10</f>
        <v>90</v>
      </c>
      <c r="AW9">
        <f>AVERAGE(G11:G15)</f>
        <v>2.8459221610295078</v>
      </c>
      <c r="AX9">
        <f>COUNT(G11:G15)</f>
        <v>5</v>
      </c>
      <c r="AY9">
        <f>DEVSQ(G11:G15)</f>
        <v>6.2348766119999501</v>
      </c>
      <c r="BE9" s="30"/>
    </row>
    <row r="10" spans="1:57" ht="15.75" thickBot="1" x14ac:dyDescent="0.3">
      <c r="A10" t="s">
        <v>110</v>
      </c>
      <c r="B10">
        <v>0</v>
      </c>
      <c r="C10">
        <v>10</v>
      </c>
      <c r="D10">
        <v>20</v>
      </c>
      <c r="E10">
        <v>30</v>
      </c>
      <c r="F10">
        <v>60</v>
      </c>
      <c r="G10">
        <v>90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P10" s="29" t="str">
        <f>N2</f>
        <v>20 ng/mL</v>
      </c>
      <c r="Q10">
        <f>COUNT(N3:N7)</f>
        <v>5</v>
      </c>
      <c r="R10">
        <f>SUM(N3:N7)</f>
        <v>6.7886385650576928</v>
      </c>
      <c r="S10">
        <f>AVERAGE(N3:N7)</f>
        <v>1.3577277130115386</v>
      </c>
      <c r="T10">
        <f>_xlfn.VAR.S(N3:N7)</f>
        <v>0.31920400315306319</v>
      </c>
      <c r="U10">
        <f>DEVSQ(N3:N7)</f>
        <v>1.2768160126122505</v>
      </c>
      <c r="V10">
        <f>SQRT(S15/Q10)</f>
        <v>0.40746817363523746</v>
      </c>
      <c r="W10">
        <f>S10-V10*_xlfn.T.INV.2T(V4,R15)</f>
        <v>0.50776399688425267</v>
      </c>
      <c r="X10">
        <f>S10+V10*_xlfn.T.INV.2T(V4,R15)</f>
        <v>2.2076914291388245</v>
      </c>
      <c r="Z10" t="s">
        <v>167</v>
      </c>
      <c r="AI10" s="30"/>
      <c r="AL10" s="29">
        <f>F10</f>
        <v>60</v>
      </c>
      <c r="AM10">
        <f>COUNT(F11:F15)</f>
        <v>5</v>
      </c>
      <c r="AN10">
        <f>SUM(F11:F15)</f>
        <v>13.194003222019418</v>
      </c>
      <c r="AO10">
        <f>AVERAGE(F11:F15)</f>
        <v>2.6388006444038838</v>
      </c>
      <c r="AP10">
        <f>_xlfn.VAR.S(F11:F15)</f>
        <v>1.0219001975639248</v>
      </c>
      <c r="AQ10">
        <f>DEVSQ(F11:F15)</f>
        <v>4.0876007902557028</v>
      </c>
      <c r="AR10">
        <f>SQRT(AO16/AM10)</f>
        <v>0.32643207964279608</v>
      </c>
      <c r="AS10">
        <f>AO10-AR10*_xlfn.T.INV.2T(AR4,AN16)</f>
        <v>1.9650779447598721</v>
      </c>
      <c r="AT10">
        <f>AO10+AR10*_xlfn.T.INV.2T(AR4,AN16)</f>
        <v>3.3125233440478956</v>
      </c>
      <c r="AV10" s="37"/>
      <c r="AW10" s="37"/>
      <c r="AX10" s="37">
        <f>SUM(AX4:AX9)</f>
        <v>30</v>
      </c>
      <c r="AY10" s="37">
        <f>SUM(AY4:AY9)</f>
        <v>12.786948314390493</v>
      </c>
      <c r="AZ10" s="37">
        <f>AX10-COUNT(AX4:AX9)</f>
        <v>24</v>
      </c>
      <c r="BA10" s="37">
        <f>[1]!QCRIT(COUNT(AX4:AX9),AZ10,AZ2,2)</f>
        <v>4.3730000000000002</v>
      </c>
      <c r="BE10" s="30"/>
    </row>
    <row r="11" spans="1:57" ht="16.5" thickTop="1" thickBot="1" x14ac:dyDescent="0.3">
      <c r="A11" t="s">
        <v>98</v>
      </c>
      <c r="B11">
        <v>1</v>
      </c>
      <c r="C11">
        <v>2.0847350826568456</v>
      </c>
      <c r="D11">
        <v>1.8222581404917653</v>
      </c>
      <c r="E11">
        <v>1.9293111967265466</v>
      </c>
      <c r="F11">
        <v>4.4197838559113576</v>
      </c>
      <c r="G11">
        <v>4.6570216401339923</v>
      </c>
      <c r="J11">
        <v>0.39871069076682392</v>
      </c>
      <c r="K11">
        <v>1.8222581404917653</v>
      </c>
      <c r="L11">
        <v>7.6561156017336556</v>
      </c>
      <c r="M11">
        <v>1.7610431262422652</v>
      </c>
      <c r="N11">
        <v>1.1171210526206468</v>
      </c>
      <c r="P11" s="39"/>
      <c r="Q11" s="37"/>
      <c r="R11" s="37"/>
      <c r="S11" s="37"/>
      <c r="T11" s="37"/>
      <c r="U11" s="37"/>
      <c r="V11" s="37"/>
      <c r="W11" s="37"/>
      <c r="X11" s="37"/>
      <c r="Z11" s="36" t="s">
        <v>168</v>
      </c>
      <c r="AA11" s="36" t="s">
        <v>169</v>
      </c>
      <c r="AB11" s="36" t="s">
        <v>163</v>
      </c>
      <c r="AC11" s="36" t="s">
        <v>170</v>
      </c>
      <c r="AD11" s="36" t="s">
        <v>171</v>
      </c>
      <c r="AE11" s="36" t="s">
        <v>172</v>
      </c>
      <c r="AF11" s="36" t="s">
        <v>173</v>
      </c>
      <c r="AG11" s="36" t="s">
        <v>174</v>
      </c>
      <c r="AH11" s="36" t="s">
        <v>175</v>
      </c>
      <c r="AI11" s="40" t="s">
        <v>176</v>
      </c>
      <c r="AL11" s="29">
        <f>G10</f>
        <v>90</v>
      </c>
      <c r="AM11">
        <f>COUNT(G11:G15)</f>
        <v>5</v>
      </c>
      <c r="AN11">
        <f>SUM(G11:G15)</f>
        <v>14.229610805147539</v>
      </c>
      <c r="AO11">
        <f>AVERAGE(G11:G15)</f>
        <v>2.8459221610295078</v>
      </c>
      <c r="AP11">
        <f>_xlfn.VAR.S(G11:G15)</f>
        <v>1.5587191529999842</v>
      </c>
      <c r="AQ11">
        <f>DEVSQ(G11:G15)</f>
        <v>6.2348766119999501</v>
      </c>
      <c r="AR11">
        <f>SQRT(AO16/AM11)</f>
        <v>0.32643207964279608</v>
      </c>
      <c r="AS11">
        <f>AO11-AR11*_xlfn.T.INV.2T(AR4,AN16)</f>
        <v>2.172199461385496</v>
      </c>
      <c r="AT11">
        <f>AO11+AR11*_xlfn.T.INV.2T(AR4,AN16)</f>
        <v>3.5196448606735196</v>
      </c>
      <c r="AV11" t="s">
        <v>167</v>
      </c>
      <c r="BE11" s="30"/>
    </row>
    <row r="12" spans="1:57" ht="16.5" thickTop="1" thickBot="1" x14ac:dyDescent="0.3">
      <c r="A12" t="s">
        <v>99</v>
      </c>
      <c r="B12">
        <v>1</v>
      </c>
      <c r="C12">
        <v>0.79222690652934913</v>
      </c>
      <c r="D12">
        <v>0.9596473204788335</v>
      </c>
      <c r="E12">
        <v>0.98970336880542054</v>
      </c>
      <c r="F12">
        <v>2.1013556386916044</v>
      </c>
      <c r="G12">
        <v>2.5800571346115979</v>
      </c>
      <c r="J12">
        <v>2.7583172710291084</v>
      </c>
      <c r="K12">
        <v>0.9596473204788335</v>
      </c>
      <c r="L12">
        <v>7.0279443081507251</v>
      </c>
      <c r="M12">
        <v>1.9109743459314839</v>
      </c>
      <c r="N12">
        <v>1.6060242697457863</v>
      </c>
      <c r="P12" s="29" t="s">
        <v>148</v>
      </c>
      <c r="Z12" s="37" t="str">
        <f>Z4</f>
        <v>0 ng/mL</v>
      </c>
      <c r="AA12" s="37" t="str">
        <f>Z5</f>
        <v>5 ng/mL</v>
      </c>
      <c r="AB12" s="37">
        <f>ABS(AA4-AA5)</f>
        <v>0.15736066311395758</v>
      </c>
      <c r="AC12" s="37">
        <f>SQRT(AC9/AD9/HARMEAN(AB4,AB5))</f>
        <v>0.40746817363523746</v>
      </c>
      <c r="AD12" s="37">
        <f>AB12/AC12</f>
        <v>0.38619129859900592</v>
      </c>
      <c r="AE12" s="37">
        <f>AB12-AC12*AE$9</f>
        <v>-1.5670446477103677</v>
      </c>
      <c r="AF12" s="37">
        <f>AB12+AC12*AE$9</f>
        <v>1.8817659739382826</v>
      </c>
      <c r="AG12" s="37">
        <f>[1]!QDIST(AD12,COUNT($AB$4:$AB$8),AD$9)</f>
        <v>0.99867050362816512</v>
      </c>
      <c r="AH12" s="37">
        <f>AC12*AE$9</f>
        <v>1.7244053108243251</v>
      </c>
      <c r="AI12" s="41">
        <f>AB12*SQRT(AD$9/AC$9)</f>
        <v>0.17270999919725932</v>
      </c>
      <c r="AL12" s="39"/>
      <c r="AM12" s="37"/>
      <c r="AN12" s="37"/>
      <c r="AO12" s="37"/>
      <c r="AP12" s="37"/>
      <c r="AQ12" s="37"/>
      <c r="AR12" s="37"/>
      <c r="AS12" s="37"/>
      <c r="AT12" s="37"/>
      <c r="AV12" s="36" t="s">
        <v>168</v>
      </c>
      <c r="AW12" s="36" t="s">
        <v>169</v>
      </c>
      <c r="AX12" s="36" t="s">
        <v>163</v>
      </c>
      <c r="AY12" s="36" t="s">
        <v>170</v>
      </c>
      <c r="AZ12" s="36" t="s">
        <v>171</v>
      </c>
      <c r="BA12" s="36" t="s">
        <v>172</v>
      </c>
      <c r="BB12" s="36" t="s">
        <v>173</v>
      </c>
      <c r="BC12" s="36" t="s">
        <v>174</v>
      </c>
      <c r="BD12" s="36" t="s">
        <v>175</v>
      </c>
      <c r="BE12" s="40" t="s">
        <v>176</v>
      </c>
    </row>
    <row r="13" spans="1:57" ht="16.5" thickTop="1" thickBot="1" x14ac:dyDescent="0.3">
      <c r="A13" t="s">
        <v>100</v>
      </c>
      <c r="B13">
        <v>1</v>
      </c>
      <c r="C13">
        <v>0.80581940729200419</v>
      </c>
      <c r="D13">
        <v>0.88053872949610623</v>
      </c>
      <c r="E13">
        <v>0.81770240589771781</v>
      </c>
      <c r="F13">
        <v>2.1003160183637584</v>
      </c>
      <c r="G13">
        <v>2.1842820759513106</v>
      </c>
      <c r="J13">
        <v>0.5490222619833266</v>
      </c>
      <c r="K13">
        <v>0.88053872949610623</v>
      </c>
      <c r="L13">
        <v>5.1904066314141639</v>
      </c>
      <c r="M13">
        <v>1.5604150485591761</v>
      </c>
      <c r="N13">
        <v>2.2833787436222912</v>
      </c>
      <c r="P13" s="38" t="s">
        <v>149</v>
      </c>
      <c r="Q13" s="36" t="s">
        <v>144</v>
      </c>
      <c r="R13" s="36" t="s">
        <v>150</v>
      </c>
      <c r="S13" s="36" t="s">
        <v>151</v>
      </c>
      <c r="T13" s="36" t="s">
        <v>152</v>
      </c>
      <c r="U13" s="36" t="s">
        <v>153</v>
      </c>
      <c r="V13" s="36" t="s">
        <v>154</v>
      </c>
      <c r="W13" s="36" t="s">
        <v>155</v>
      </c>
      <c r="X13" s="36" t="s">
        <v>156</v>
      </c>
      <c r="Z13" t="str">
        <f>Z4</f>
        <v>0 ng/mL</v>
      </c>
      <c r="AA13" s="34" t="str">
        <f>Z6</f>
        <v>10 ng/mL</v>
      </c>
      <c r="AB13">
        <f>ABS(AA4-AA6)</f>
        <v>1.4397799869478685</v>
      </c>
      <c r="AC13">
        <f>SQRT(AC9/AD9/HARMEAN(AB4,AB6))</f>
        <v>0.40746817363523746</v>
      </c>
      <c r="AD13">
        <f t="shared" ref="AD13:AD21" si="0">AB13/AC13</f>
        <v>3.533478391951046</v>
      </c>
      <c r="AE13">
        <f t="shared" ref="AE13:AE21" si="1">AB13-AC13*AE$9</f>
        <v>-0.28462532387645667</v>
      </c>
      <c r="AF13">
        <f t="shared" ref="AF13:AF21" si="2">AB13+AC13*AE$9</f>
        <v>3.1641852977721934</v>
      </c>
      <c r="AG13" s="34">
        <f>[1]!QDIST(AD13,COUNT($AB$4:$AB$8),AD$9)</f>
        <v>0.13073336991638262</v>
      </c>
      <c r="AH13">
        <f t="shared" ref="AH13:AH21" si="3">AC13*AE$9</f>
        <v>1.7244053108243251</v>
      </c>
      <c r="AI13" s="30">
        <f t="shared" ref="AI13:AI21" si="4">AB13*SQRT(AD$9/AC$9)</f>
        <v>1.5802195762858371</v>
      </c>
      <c r="AL13" s="29" t="s">
        <v>148</v>
      </c>
      <c r="AV13" s="37">
        <f>AV4</f>
        <v>0</v>
      </c>
      <c r="AW13" s="37">
        <f>AV5</f>
        <v>10</v>
      </c>
      <c r="AX13" s="37">
        <f>ABS(AW4-AW5)</f>
        <v>0.13464063317717034</v>
      </c>
      <c r="AY13" s="37">
        <f>SQRT(AY10/AZ10/HARMEAN(AX4,AX5))</f>
        <v>0.32643207964279608</v>
      </c>
      <c r="AZ13" s="37">
        <f>AX13/AY13</f>
        <v>0.41246140184660518</v>
      </c>
      <c r="BA13" s="37">
        <f>AX13-AY13*BA$10</f>
        <v>-1.2928468511007769</v>
      </c>
      <c r="BB13" s="37">
        <f>AX13+AY13*BA$10</f>
        <v>1.5621281174551176</v>
      </c>
      <c r="BC13" s="37">
        <f>[1]!QDIST(AZ13,COUNT($AX$4:$AX$9),AZ$10)</f>
        <v>0.99967622395139899</v>
      </c>
      <c r="BD13" s="37">
        <f>AY13*BA$10</f>
        <v>1.4274874842779472</v>
      </c>
      <c r="BE13" s="41">
        <f>AX13*SQRT(AZ$10/AY$10)</f>
        <v>0.18445834652477328</v>
      </c>
    </row>
    <row r="14" spans="1:57" ht="15.75" thickTop="1" x14ac:dyDescent="0.25">
      <c r="A14" t="s">
        <v>101</v>
      </c>
      <c r="B14">
        <v>1</v>
      </c>
      <c r="C14">
        <v>0.97137816020508527</v>
      </c>
      <c r="D14">
        <v>1.3072170917740682</v>
      </c>
      <c r="E14">
        <v>1.2215478897271537</v>
      </c>
      <c r="F14">
        <v>2.4964362783499978</v>
      </c>
      <c r="G14">
        <v>1.3902280467885235</v>
      </c>
      <c r="J14">
        <v>1.1299284313176898</v>
      </c>
      <c r="K14">
        <v>1.3072170917740682</v>
      </c>
      <c r="L14">
        <v>3.6186040472801815</v>
      </c>
      <c r="M14">
        <v>0.97567363231322457</v>
      </c>
      <c r="N14">
        <v>1.8896524162537167</v>
      </c>
      <c r="P14" s="29" t="s">
        <v>157</v>
      </c>
      <c r="Q14">
        <f>Q16-Q15</f>
        <v>6.3296317766320733</v>
      </c>
      <c r="R14">
        <f>COUNTA(P6:P10)-1</f>
        <v>4</v>
      </c>
      <c r="S14">
        <f>Q14/R14</f>
        <v>1.5824079441580183</v>
      </c>
      <c r="T14">
        <f>S14/S15</f>
        <v>1.9061675185531985</v>
      </c>
      <c r="U14">
        <f>_xlfn.F.DIST.RT(T14,R14,R15)</f>
        <v>0.14877423340880211</v>
      </c>
      <c r="V14">
        <f>Q14/Q16</f>
        <v>0.27600945291760448</v>
      </c>
      <c r="W14">
        <f>SQRT(DEVSQ(S6:S10)/(S15*R14))</f>
        <v>0.61744109331226071</v>
      </c>
      <c r="X14">
        <f>(Q16-R16*S15)/(Q16+S15)</f>
        <v>0.1266274882755126</v>
      </c>
      <c r="Z14" t="str">
        <f>Z4</f>
        <v>0 ng/mL</v>
      </c>
      <c r="AA14" t="str">
        <f>Z7</f>
        <v>15 ng/mL</v>
      </c>
      <c r="AB14">
        <f>ABS(AA4-AA7)</f>
        <v>0.53265680523635683</v>
      </c>
      <c r="AC14">
        <f>SQRT(AC9/AD9/HARMEAN(AB4,AB7))</f>
        <v>0.40746817363523746</v>
      </c>
      <c r="AD14">
        <f t="shared" si="0"/>
        <v>1.3072353614375471</v>
      </c>
      <c r="AE14">
        <f t="shared" si="1"/>
        <v>-1.1917485055879684</v>
      </c>
      <c r="AF14">
        <f t="shared" si="2"/>
        <v>2.2570621160606819</v>
      </c>
      <c r="AG14">
        <f>[1]!QDIST(AD14,COUNT($AB$4:$AB$8),AD$9)</f>
        <v>0.88411849185413149</v>
      </c>
      <c r="AH14">
        <f t="shared" si="3"/>
        <v>1.7244053108243251</v>
      </c>
      <c r="AI14" s="30">
        <f t="shared" si="4"/>
        <v>0.58461342615317247</v>
      </c>
      <c r="AL14" s="38" t="s">
        <v>149</v>
      </c>
      <c r="AM14" s="36" t="s">
        <v>144</v>
      </c>
      <c r="AN14" s="36" t="s">
        <v>150</v>
      </c>
      <c r="AO14" s="36" t="s">
        <v>151</v>
      </c>
      <c r="AP14" s="36" t="s">
        <v>152</v>
      </c>
      <c r="AQ14" s="36" t="s">
        <v>153</v>
      </c>
      <c r="AR14" s="36" t="s">
        <v>154</v>
      </c>
      <c r="AS14" s="36" t="s">
        <v>155</v>
      </c>
      <c r="AT14" s="36" t="s">
        <v>156</v>
      </c>
      <c r="AV14">
        <f>AV4</f>
        <v>0</v>
      </c>
      <c r="AW14" s="34">
        <f>AV6</f>
        <v>20</v>
      </c>
      <c r="AX14">
        <f>ABS(AW4-AW6)</f>
        <v>0.26323676858257761</v>
      </c>
      <c r="AY14">
        <f>SQRT(AY10/AZ10/HARMEAN(AX4,AX6))</f>
        <v>0.32643207964279608</v>
      </c>
      <c r="AZ14">
        <f t="shared" ref="AZ14:AZ27" si="5">AX14/AY14</f>
        <v>0.80640594169123625</v>
      </c>
      <c r="BA14">
        <f t="shared" ref="BA14:BA27" si="6">AX14-AY14*BA$10</f>
        <v>-1.1642507156953696</v>
      </c>
      <c r="BB14">
        <f t="shared" ref="BB14:BB27" si="7">AX14+AY14*BA$10</f>
        <v>1.6907242528605249</v>
      </c>
      <c r="BC14" s="34">
        <f>[1]!QDIST(AZ14,COUNT($AX$4:$AX$9),AZ$10)</f>
        <v>0.99209306598245295</v>
      </c>
      <c r="BD14">
        <f t="shared" ref="BD14:BD27" si="8">AY14*BA$10</f>
        <v>1.4274874842779472</v>
      </c>
      <c r="BE14" s="30">
        <f t="shared" ref="BE14:BE27" si="9">AX14*SQRT(AZ$10/AY$10)</f>
        <v>0.36063570061626715</v>
      </c>
    </row>
    <row r="15" spans="1:57" x14ac:dyDescent="0.25">
      <c r="A15" t="s">
        <v>102</v>
      </c>
      <c r="B15">
        <v>1</v>
      </c>
      <c r="C15">
        <v>1.0190436092025676</v>
      </c>
      <c r="D15">
        <v>1.3465225606721141</v>
      </c>
      <c r="E15">
        <v>1.3974041060798579</v>
      </c>
      <c r="F15">
        <v>2.0761114307026993</v>
      </c>
      <c r="G15">
        <v>3.4180219076621134</v>
      </c>
      <c r="J15">
        <v>0.98157416525674535</v>
      </c>
      <c r="K15">
        <v>1.3465225606721141</v>
      </c>
      <c r="L15">
        <v>4.8970334212290751</v>
      </c>
      <c r="M15">
        <v>1.4562931773563754</v>
      </c>
      <c r="N15">
        <v>1.7118107149932229</v>
      </c>
      <c r="P15" s="29" t="s">
        <v>158</v>
      </c>
      <c r="Q15">
        <f>SUM(U6:U10)</f>
        <v>16.603031252563603</v>
      </c>
      <c r="R15">
        <f>R16-R14</f>
        <v>20</v>
      </c>
      <c r="S15">
        <f>Q15/R15</f>
        <v>0.83015156262818013</v>
      </c>
      <c r="Z15" t="str">
        <f>Z4</f>
        <v>0 ng/mL</v>
      </c>
      <c r="AA15" t="str">
        <f>Z8</f>
        <v>20 ng/mL</v>
      </c>
      <c r="AB15">
        <f>ABS(AA4-AA8)</f>
        <v>0.38044774294832584</v>
      </c>
      <c r="AC15">
        <f>SQRT(AC9/AD9/HARMEAN(AB4,AB8))</f>
        <v>0.40746817363523746</v>
      </c>
      <c r="AD15">
        <f t="shared" si="0"/>
        <v>0.93368701548921429</v>
      </c>
      <c r="AE15">
        <f t="shared" si="1"/>
        <v>-1.3439575678759992</v>
      </c>
      <c r="AF15">
        <f t="shared" si="2"/>
        <v>2.1048530537726511</v>
      </c>
      <c r="AG15">
        <f>[1]!QDIST(AD15,COUNT($AB$4:$AB$8),AD$9)</f>
        <v>0.96263240895042179</v>
      </c>
      <c r="AH15">
        <f t="shared" si="3"/>
        <v>1.7244053108243251</v>
      </c>
      <c r="AI15" s="30">
        <f t="shared" si="4"/>
        <v>0.41755752726855649</v>
      </c>
      <c r="AL15" s="29" t="s">
        <v>157</v>
      </c>
      <c r="AM15">
        <f>AM17-AM16</f>
        <v>16.892235245254657</v>
      </c>
      <c r="AN15">
        <f>COUNTA(AL6:AL11)-1</f>
        <v>5</v>
      </c>
      <c r="AO15">
        <f>AM15/AN15</f>
        <v>3.3784470490509313</v>
      </c>
      <c r="AP15">
        <f>AO15/AO16</f>
        <v>6.341053954677478</v>
      </c>
      <c r="AQ15">
        <f>_xlfn.F.DIST.RT(AP15,AN15,AN16)</f>
        <v>6.940856133153372E-4</v>
      </c>
      <c r="AR15">
        <f>AM15/AM17</f>
        <v>0.56916104889836205</v>
      </c>
      <c r="AS15">
        <f>SQRT(DEVSQ(AO6:AO11)/(AO16*AN15))</f>
        <v>1.1261486540130907</v>
      </c>
      <c r="AT15">
        <f>(AM17-AN17*AO16)/(AM17+AO16)</f>
        <v>0.4709486416361352</v>
      </c>
      <c r="AV15">
        <f>AV4</f>
        <v>0</v>
      </c>
      <c r="AW15">
        <f>AV7</f>
        <v>30</v>
      </c>
      <c r="AX15">
        <f>ABS(AW4-AW7)</f>
        <v>0.27113379344733923</v>
      </c>
      <c r="AY15">
        <f>SQRT(AY10/AZ10/HARMEAN(AX4,AX7))</f>
        <v>0.32643207964279608</v>
      </c>
      <c r="AZ15">
        <f t="shared" si="5"/>
        <v>0.83059788040449967</v>
      </c>
      <c r="BA15">
        <f t="shared" si="6"/>
        <v>-1.156353690830608</v>
      </c>
      <c r="BB15">
        <f t="shared" si="7"/>
        <v>1.6986212777252865</v>
      </c>
      <c r="BC15">
        <f>[1]!QDIST(AZ15,COUNT($AX$4:$AX$9),AZ$10)</f>
        <v>0.99094945756533392</v>
      </c>
      <c r="BD15">
        <f t="shared" si="8"/>
        <v>1.4274874842779472</v>
      </c>
      <c r="BE15" s="30">
        <f t="shared" si="9"/>
        <v>0.37145466451034032</v>
      </c>
    </row>
    <row r="16" spans="1:57" x14ac:dyDescent="0.25">
      <c r="P16" s="42" t="s">
        <v>159</v>
      </c>
      <c r="Q16" s="23">
        <f>DEVSQ(J3:N7)</f>
        <v>22.932663029195677</v>
      </c>
      <c r="R16" s="23">
        <f>COUNT(J3:N7)-1</f>
        <v>24</v>
      </c>
      <c r="S16" s="23">
        <f>Q16/R16</f>
        <v>0.95552762621648657</v>
      </c>
      <c r="T16" s="23"/>
      <c r="U16" s="23"/>
      <c r="V16" s="23"/>
      <c r="W16" s="23"/>
      <c r="X16" s="23"/>
      <c r="Z16" t="str">
        <f>Z5</f>
        <v>5 ng/mL</v>
      </c>
      <c r="AA16" s="34" t="str">
        <f>Z6</f>
        <v>10 ng/mL</v>
      </c>
      <c r="AB16">
        <f>ABS(AA5-AA6)</f>
        <v>1.2824193238339108</v>
      </c>
      <c r="AC16">
        <f>SQRT(AC9/AD9/HARMEAN(AB5,AB6))</f>
        <v>0.40746817363523746</v>
      </c>
      <c r="AD16">
        <f t="shared" si="0"/>
        <v>3.1472870933520398</v>
      </c>
      <c r="AE16">
        <f t="shared" si="1"/>
        <v>-0.44198598699041436</v>
      </c>
      <c r="AF16">
        <f t="shared" si="2"/>
        <v>3.0068246346582361</v>
      </c>
      <c r="AG16" s="34">
        <f>[1]!QDIST(AD16,COUNT($AB$4:$AB$8),AD$9)</f>
        <v>0.21090249377610903</v>
      </c>
      <c r="AH16">
        <f t="shared" si="3"/>
        <v>1.7244053108243251</v>
      </c>
      <c r="AI16" s="30">
        <f t="shared" si="4"/>
        <v>1.4075095770885775</v>
      </c>
      <c r="AL16" s="29" t="s">
        <v>158</v>
      </c>
      <c r="AM16">
        <f>SUM(AQ6:AQ11)</f>
        <v>12.786948314390493</v>
      </c>
      <c r="AN16">
        <f>AN17-AN15</f>
        <v>24</v>
      </c>
      <c r="AO16">
        <f>AM16/AN16</f>
        <v>0.53278951309960387</v>
      </c>
      <c r="AV16">
        <f>AV4</f>
        <v>0</v>
      </c>
      <c r="AW16">
        <f>AV8</f>
        <v>60</v>
      </c>
      <c r="AX16">
        <f>ABS(AW4-AW8)</f>
        <v>1.6388006444038838</v>
      </c>
      <c r="AY16">
        <f>SQRT(AY10/AZ10/HARMEAN(AX4,AX8))</f>
        <v>0.32643207964279608</v>
      </c>
      <c r="AZ16">
        <f t="shared" si="5"/>
        <v>5.0203418922465266</v>
      </c>
      <c r="BA16">
        <f t="shared" si="6"/>
        <v>0.21131316012593659</v>
      </c>
      <c r="BB16">
        <f t="shared" si="7"/>
        <v>3.0662881286818311</v>
      </c>
      <c r="BC16">
        <f>[1]!QDIST(AZ16,COUNT($AX$4:$AX$9),AZ$10)</f>
        <v>1.794440912036166E-2</v>
      </c>
      <c r="BD16">
        <f t="shared" si="8"/>
        <v>1.4274874842779472</v>
      </c>
      <c r="BE16" s="30">
        <f t="shared" si="9"/>
        <v>2.2451651482706314</v>
      </c>
    </row>
    <row r="17" spans="1:57" x14ac:dyDescent="0.25">
      <c r="A17" s="50" t="s">
        <v>128</v>
      </c>
      <c r="B17" s="50"/>
      <c r="C17" s="50"/>
      <c r="D17" s="50"/>
      <c r="E17" s="50"/>
      <c r="F17" s="50"/>
      <c r="G17" s="50"/>
      <c r="J17" s="50" t="s">
        <v>133</v>
      </c>
      <c r="K17" s="50"/>
      <c r="L17" s="50"/>
      <c r="M17" s="50"/>
      <c r="N17" s="50"/>
      <c r="P17" s="29"/>
      <c r="Z17" t="str">
        <f>Z5</f>
        <v>5 ng/mL</v>
      </c>
      <c r="AA17" t="str">
        <f>Z7</f>
        <v>15 ng/mL</v>
      </c>
      <c r="AB17">
        <f>ABS(AA5-AA7)</f>
        <v>0.37529614212239926</v>
      </c>
      <c r="AC17">
        <f>SQRT(AC9/AD9/HARMEAN(AB5,AB7))</f>
        <v>0.40746817363523746</v>
      </c>
      <c r="AD17">
        <f t="shared" si="0"/>
        <v>0.92104406283854112</v>
      </c>
      <c r="AE17">
        <f t="shared" si="1"/>
        <v>-1.3491091687019259</v>
      </c>
      <c r="AF17">
        <f t="shared" si="2"/>
        <v>2.0997014529467242</v>
      </c>
      <c r="AG17">
        <f>[1]!QDIST(AD17,COUNT($AB$4:$AB$8),AD$9)</f>
        <v>0.96439618504778846</v>
      </c>
      <c r="AH17">
        <f t="shared" si="3"/>
        <v>1.7244053108243251</v>
      </c>
      <c r="AI17" s="30">
        <f t="shared" si="4"/>
        <v>0.4119034269559132</v>
      </c>
      <c r="AL17" s="42" t="s">
        <v>159</v>
      </c>
      <c r="AM17" s="23">
        <f>DEVSQ(B11:G15)</f>
        <v>29.67918355964515</v>
      </c>
      <c r="AN17" s="23">
        <f>COUNT(B11:G15)-1</f>
        <v>29</v>
      </c>
      <c r="AO17" s="23">
        <f>AM17/AN17</f>
        <v>1.0234201227463844</v>
      </c>
      <c r="AP17" s="23"/>
      <c r="AQ17" s="23"/>
      <c r="AR17" s="23"/>
      <c r="AS17" s="23"/>
      <c r="AT17" s="23"/>
      <c r="AV17">
        <f>AV4</f>
        <v>0</v>
      </c>
      <c r="AW17">
        <f>AV9</f>
        <v>90</v>
      </c>
      <c r="AX17">
        <f>ABS(AW4-AW9)</f>
        <v>1.8459221610295078</v>
      </c>
      <c r="AY17">
        <f>SQRT(AY10/AZ10/HARMEAN(AX4,AX9))</f>
        <v>0.32643207964279608</v>
      </c>
      <c r="AZ17">
        <f t="shared" si="5"/>
        <v>5.6548430014888238</v>
      </c>
      <c r="BA17">
        <f t="shared" si="6"/>
        <v>0.41843467675156054</v>
      </c>
      <c r="BB17">
        <f t="shared" si="7"/>
        <v>3.273409645307455</v>
      </c>
      <c r="BC17">
        <f>[1]!QDIST(AZ17,COUNT($AX$4:$AX$9),AZ$10)</f>
        <v>6.2173586441971462E-3</v>
      </c>
      <c r="BD17">
        <f t="shared" si="8"/>
        <v>1.4274874842779472</v>
      </c>
      <c r="BE17" s="30">
        <f t="shared" si="9"/>
        <v>2.5289226706835906</v>
      </c>
    </row>
    <row r="18" spans="1:57" x14ac:dyDescent="0.25">
      <c r="A18" t="s">
        <v>110</v>
      </c>
      <c r="B18">
        <v>0</v>
      </c>
      <c r="C18">
        <v>10</v>
      </c>
      <c r="D18">
        <v>20</v>
      </c>
      <c r="E18">
        <v>30</v>
      </c>
      <c r="F18">
        <v>60</v>
      </c>
      <c r="G18">
        <v>90</v>
      </c>
      <c r="J18" t="s">
        <v>126</v>
      </c>
      <c r="K18" t="s">
        <v>127</v>
      </c>
      <c r="L18" t="s">
        <v>128</v>
      </c>
      <c r="M18" t="s">
        <v>129</v>
      </c>
      <c r="N18" t="s">
        <v>130</v>
      </c>
      <c r="P18" s="29"/>
      <c r="Z18" t="str">
        <f>Z5</f>
        <v>5 ng/mL</v>
      </c>
      <c r="AA18" t="str">
        <f>Z8</f>
        <v>20 ng/mL</v>
      </c>
      <c r="AB18">
        <f>ABS(AA5-AA8)</f>
        <v>0.22308707983436826</v>
      </c>
      <c r="AC18">
        <f>SQRT(AC9/AD9/HARMEAN(AB5,AB8))</f>
        <v>0.40746817363523746</v>
      </c>
      <c r="AD18">
        <f t="shared" si="0"/>
        <v>0.54749571689020848</v>
      </c>
      <c r="AE18">
        <f t="shared" si="1"/>
        <v>-1.5013182309899569</v>
      </c>
      <c r="AF18">
        <f t="shared" si="2"/>
        <v>1.9474923906586934</v>
      </c>
      <c r="AG18">
        <f>[1]!QDIST(AD18,COUNT($AB$4:$AB$8),AD$9)</f>
        <v>0.99484802120753468</v>
      </c>
      <c r="AH18">
        <f t="shared" si="3"/>
        <v>1.7244053108243251</v>
      </c>
      <c r="AI18" s="30">
        <f t="shared" si="4"/>
        <v>0.24484752807129717</v>
      </c>
      <c r="AL18" s="29"/>
      <c r="AV18">
        <f>AV5</f>
        <v>10</v>
      </c>
      <c r="AW18" s="34">
        <f>AV6</f>
        <v>20</v>
      </c>
      <c r="AX18">
        <f>ABS(AW5-AW6)</f>
        <v>0.12859613540540726</v>
      </c>
      <c r="AY18">
        <f>SQRT(AY10/AZ10/HARMEAN(AX5,AX6))</f>
        <v>0.32643207964279608</v>
      </c>
      <c r="AZ18">
        <f t="shared" si="5"/>
        <v>0.39394453984463107</v>
      </c>
      <c r="BA18">
        <f t="shared" si="6"/>
        <v>-1.29889134887254</v>
      </c>
      <c r="BB18">
        <f t="shared" si="7"/>
        <v>1.5560836196833545</v>
      </c>
      <c r="BC18" s="34">
        <f>[1]!QDIST(AZ18,COUNT($AX$4:$AX$9),AZ$10)</f>
        <v>0.99974138341649288</v>
      </c>
      <c r="BD18">
        <f t="shared" si="8"/>
        <v>1.4274874842779472</v>
      </c>
      <c r="BE18" s="30">
        <f t="shared" si="9"/>
        <v>0.17617735409149388</v>
      </c>
    </row>
    <row r="19" spans="1:57" x14ac:dyDescent="0.25">
      <c r="A19" t="s">
        <v>98</v>
      </c>
      <c r="B19">
        <v>1</v>
      </c>
      <c r="C19">
        <v>1.5522047753120169</v>
      </c>
      <c r="D19">
        <v>7.6561156017336556</v>
      </c>
      <c r="E19">
        <v>4.7970028343712334</v>
      </c>
      <c r="F19">
        <v>5.9442821395501921</v>
      </c>
      <c r="G19">
        <v>8.8608374772109944</v>
      </c>
      <c r="J19">
        <v>0.34254262808726327</v>
      </c>
      <c r="K19">
        <v>1.9293111967265466</v>
      </c>
      <c r="L19">
        <v>4.7970028343712334</v>
      </c>
      <c r="M19">
        <v>1.6643780430291886</v>
      </c>
      <c r="N19">
        <v>1.6580569960574021</v>
      </c>
      <c r="P19" s="29"/>
      <c r="Z19" s="34" t="str">
        <f>Z6</f>
        <v>10 ng/mL</v>
      </c>
      <c r="AA19" t="str">
        <f>Z7</f>
        <v>15 ng/mL</v>
      </c>
      <c r="AB19">
        <f>ABS(AA6-AA7)</f>
        <v>0.90712318171151152</v>
      </c>
      <c r="AC19">
        <f>SQRT(AC9/AD9/HARMEAN(AB6,AB7))</f>
        <v>0.40746817363523746</v>
      </c>
      <c r="AD19">
        <f t="shared" si="0"/>
        <v>2.2262430305134986</v>
      </c>
      <c r="AE19">
        <f t="shared" si="1"/>
        <v>-0.81728212911281362</v>
      </c>
      <c r="AF19">
        <f t="shared" si="2"/>
        <v>2.6315284925358364</v>
      </c>
      <c r="AG19" s="34">
        <f>[1]!QDIST(AD19,COUNT($AB$4:$AB$8),AD$9)</f>
        <v>0.52958474351203688</v>
      </c>
      <c r="AH19">
        <f t="shared" si="3"/>
        <v>1.7244053108243251</v>
      </c>
      <c r="AI19" s="30">
        <f t="shared" si="4"/>
        <v>0.9956061501326644</v>
      </c>
      <c r="AL19" s="29"/>
      <c r="AV19">
        <f>AV5</f>
        <v>10</v>
      </c>
      <c r="AW19">
        <f>AV7</f>
        <v>30</v>
      </c>
      <c r="AX19">
        <f>ABS(AW5-AW7)</f>
        <v>0.13649316027016889</v>
      </c>
      <c r="AY19">
        <f>SQRT(AY10/AZ10/HARMEAN(AX5,AX7))</f>
        <v>0.32643207964279608</v>
      </c>
      <c r="AZ19">
        <f t="shared" si="5"/>
        <v>0.41813647855789443</v>
      </c>
      <c r="BA19">
        <f t="shared" si="6"/>
        <v>-1.2909943240077784</v>
      </c>
      <c r="BB19">
        <f t="shared" si="7"/>
        <v>1.5639806445481161</v>
      </c>
      <c r="BC19">
        <f>[1]!QDIST(AZ19,COUNT($AX$4:$AX$9),AZ$10)</f>
        <v>0.99965386995060512</v>
      </c>
      <c r="BD19">
        <f t="shared" si="8"/>
        <v>1.4274874842779472</v>
      </c>
      <c r="BE19" s="30">
        <f t="shared" si="9"/>
        <v>0.18699631798556701</v>
      </c>
    </row>
    <row r="20" spans="1:57" x14ac:dyDescent="0.25">
      <c r="A20" t="s">
        <v>99</v>
      </c>
      <c r="B20">
        <v>1</v>
      </c>
      <c r="C20">
        <v>0.86532983361138116</v>
      </c>
      <c r="D20">
        <v>7.0279443081507251</v>
      </c>
      <c r="E20">
        <v>2.3306825439082819</v>
      </c>
      <c r="F20">
        <v>3.6602773049252484</v>
      </c>
      <c r="G20">
        <v>2.8376765935237569</v>
      </c>
      <c r="J20">
        <v>2.2372412971692368</v>
      </c>
      <c r="K20">
        <v>0.98970336880542054</v>
      </c>
      <c r="L20">
        <v>2.3306825439082819</v>
      </c>
      <c r="M20">
        <v>1.5577450102949397</v>
      </c>
      <c r="N20">
        <v>2.5106116737489503</v>
      </c>
      <c r="P20" s="29"/>
      <c r="Z20" s="34" t="str">
        <f>Z6</f>
        <v>10 ng/mL</v>
      </c>
      <c r="AA20" t="str">
        <f>Z8</f>
        <v>20 ng/mL</v>
      </c>
      <c r="AB20">
        <f>ABS(AA6-AA8)</f>
        <v>1.0593322439995425</v>
      </c>
      <c r="AC20">
        <f>SQRT(AC9/AD9/HARMEAN(AB6,AB8))</f>
        <v>0.40746817363523746</v>
      </c>
      <c r="AD20">
        <f t="shared" si="0"/>
        <v>2.5997913764618312</v>
      </c>
      <c r="AE20">
        <f t="shared" si="1"/>
        <v>-0.66507306682478262</v>
      </c>
      <c r="AF20">
        <f t="shared" si="2"/>
        <v>2.7837375548238676</v>
      </c>
      <c r="AG20" s="34">
        <f>[1]!QDIST(AD20,COUNT($AB$4:$AB$8),AD$9)</f>
        <v>0.38055012811863542</v>
      </c>
      <c r="AH20">
        <f t="shared" si="3"/>
        <v>1.7244053108243251</v>
      </c>
      <c r="AI20" s="30">
        <f t="shared" si="4"/>
        <v>1.1626620490172803</v>
      </c>
      <c r="AL20" s="29"/>
      <c r="AV20">
        <f>AV5</f>
        <v>10</v>
      </c>
      <c r="AW20">
        <f>AV8</f>
        <v>60</v>
      </c>
      <c r="AX20">
        <f>ABS(AW5-AW8)</f>
        <v>1.5041600112267135</v>
      </c>
      <c r="AY20">
        <f>SQRT(AY10/AZ10/HARMEAN(AX5,AX8))</f>
        <v>0.32643207964279608</v>
      </c>
      <c r="AZ20">
        <f t="shared" si="5"/>
        <v>4.6078804903999213</v>
      </c>
      <c r="BA20">
        <f t="shared" si="6"/>
        <v>7.6672526948766251E-2</v>
      </c>
      <c r="BB20">
        <f t="shared" si="7"/>
        <v>2.9316474955046607</v>
      </c>
      <c r="BC20">
        <f>[1]!QDIST(AZ20,COUNT($AX$4:$AX$9),AZ$10)</f>
        <v>3.4756360237689909E-2</v>
      </c>
      <c r="BD20">
        <f t="shared" si="8"/>
        <v>1.4274874842779472</v>
      </c>
      <c r="BE20" s="30">
        <f t="shared" si="9"/>
        <v>2.0607068017458583</v>
      </c>
    </row>
    <row r="21" spans="1:57" ht="15.75" thickBot="1" x14ac:dyDescent="0.3">
      <c r="A21" t="s">
        <v>100</v>
      </c>
      <c r="B21">
        <v>1</v>
      </c>
      <c r="C21">
        <v>1.5831811483423337</v>
      </c>
      <c r="D21">
        <v>5.1904066314141639</v>
      </c>
      <c r="E21">
        <v>1.3018671947624727</v>
      </c>
      <c r="F21">
        <v>2.405588404554877</v>
      </c>
      <c r="G21">
        <v>8.2380167433059412</v>
      </c>
      <c r="J21">
        <v>0.30403491494067758</v>
      </c>
      <c r="K21">
        <v>0.81770240589771781</v>
      </c>
      <c r="L21">
        <v>1.3018671947624727</v>
      </c>
      <c r="M21">
        <v>1.7928293747021788</v>
      </c>
      <c r="N21">
        <v>1.920706155335268</v>
      </c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 t="str">
        <f>Z7</f>
        <v>15 ng/mL</v>
      </c>
      <c r="AA21" s="32" t="str">
        <f>Z8</f>
        <v>20 ng/mL</v>
      </c>
      <c r="AB21" s="32">
        <f>ABS(AA7-AA8)</f>
        <v>0.15220906228803099</v>
      </c>
      <c r="AC21" s="32">
        <f>SQRT(AC9/AD9/HARMEAN(AB7,AB8))</f>
        <v>0.40746817363523746</v>
      </c>
      <c r="AD21" s="32">
        <f t="shared" si="0"/>
        <v>0.37354834594833275</v>
      </c>
      <c r="AE21" s="32">
        <f t="shared" si="1"/>
        <v>-1.5721962485362941</v>
      </c>
      <c r="AF21" s="32">
        <f t="shared" si="2"/>
        <v>1.8766143731123561</v>
      </c>
      <c r="AG21" s="32">
        <f>[1]!QDIST(AD21,COUNT($AB$4:$AB$8),AD$9)</f>
        <v>0.99883313490989756</v>
      </c>
      <c r="AH21" s="32">
        <f t="shared" si="3"/>
        <v>1.7244053108243251</v>
      </c>
      <c r="AI21" s="33">
        <f t="shared" si="4"/>
        <v>0.16705589888461603</v>
      </c>
      <c r="AL21" s="29"/>
      <c r="AV21">
        <f>AV5</f>
        <v>10</v>
      </c>
      <c r="AW21">
        <f>AV9</f>
        <v>90</v>
      </c>
      <c r="AX21">
        <f>ABS(AW5-AW9)</f>
        <v>1.7112815278523374</v>
      </c>
      <c r="AY21">
        <f>SQRT(AY10/AZ10/HARMEAN(AX5,AX9))</f>
        <v>0.32643207964279608</v>
      </c>
      <c r="AZ21">
        <f t="shared" si="5"/>
        <v>5.2423815996422185</v>
      </c>
      <c r="BA21">
        <f t="shared" si="6"/>
        <v>0.2837940435743902</v>
      </c>
      <c r="BB21">
        <f t="shared" si="7"/>
        <v>3.1387690121302847</v>
      </c>
      <c r="BC21">
        <f>[1]!QDIST(AZ21,COUNT($AX$4:$AX$9),AZ$10)</f>
        <v>1.244519814157985E-2</v>
      </c>
      <c r="BD21">
        <f t="shared" si="8"/>
        <v>1.4274874842779472</v>
      </c>
      <c r="BE21" s="30">
        <f t="shared" si="9"/>
        <v>2.3444643241588174</v>
      </c>
    </row>
    <row r="22" spans="1:57" x14ac:dyDescent="0.25">
      <c r="A22" t="s">
        <v>101</v>
      </c>
      <c r="B22">
        <v>1</v>
      </c>
      <c r="C22">
        <v>4.9995687120716852</v>
      </c>
      <c r="D22">
        <v>3.6186040472801815</v>
      </c>
      <c r="E22">
        <v>3.4178589146349885</v>
      </c>
      <c r="F22">
        <v>3.2472397957909229</v>
      </c>
      <c r="G22">
        <v>11.162218172240372</v>
      </c>
      <c r="J22">
        <v>1.3649222536086532</v>
      </c>
      <c r="K22">
        <v>1.2215478897271537</v>
      </c>
      <c r="L22">
        <v>3.4178589146349885</v>
      </c>
      <c r="M22">
        <v>2.1456582115049407</v>
      </c>
      <c r="N22">
        <v>3.9854542621451947</v>
      </c>
      <c r="AL22" s="29"/>
      <c r="AV22" s="34">
        <f>AV6</f>
        <v>20</v>
      </c>
      <c r="AW22">
        <f>AV7</f>
        <v>30</v>
      </c>
      <c r="AX22">
        <f>ABS(AW6-AW7)</f>
        <v>7.8970248647616259E-3</v>
      </c>
      <c r="AY22">
        <f>SQRT(AY10/AZ10/HARMEAN(AX6,AX7))</f>
        <v>0.32643207964279608</v>
      </c>
      <c r="AZ22">
        <f t="shared" si="5"/>
        <v>2.4191938713263358E-2</v>
      </c>
      <c r="BA22">
        <f t="shared" si="6"/>
        <v>-1.4195904594131856</v>
      </c>
      <c r="BB22">
        <f t="shared" si="7"/>
        <v>1.4353845091427089</v>
      </c>
      <c r="BC22" s="34">
        <f>[1]!QDIST(AZ22,COUNT($AX$4:$AX$9),AZ$10)</f>
        <v>0.99999999976217768</v>
      </c>
      <c r="BD22">
        <f t="shared" si="8"/>
        <v>1.4274874842779472</v>
      </c>
      <c r="BE22" s="30">
        <f t="shared" si="9"/>
        <v>1.0818963894073131E-2</v>
      </c>
    </row>
    <row r="23" spans="1:57" ht="15.75" thickBot="1" x14ac:dyDescent="0.3">
      <c r="A23" t="s">
        <v>102</v>
      </c>
      <c r="B23">
        <v>1</v>
      </c>
      <c r="C23">
        <v>3.0850153157179885</v>
      </c>
      <c r="D23">
        <v>4.8970334212290751</v>
      </c>
      <c r="E23">
        <v>1.6669816113425899</v>
      </c>
      <c r="F23">
        <v>4.7389125583204113</v>
      </c>
      <c r="G23">
        <v>6.3746599020916834</v>
      </c>
      <c r="J23">
        <v>1.9764889159527375</v>
      </c>
      <c r="K23">
        <v>1.3974041060798579</v>
      </c>
      <c r="L23">
        <v>1.6669816113425899</v>
      </c>
      <c r="M23">
        <v>1.8678895397709525</v>
      </c>
      <c r="N23">
        <v>3.0861987464874603</v>
      </c>
      <c r="AL23" s="29"/>
      <c r="AV23" s="34">
        <f>AV6</f>
        <v>20</v>
      </c>
      <c r="AW23">
        <f>AV8</f>
        <v>60</v>
      </c>
      <c r="AX23">
        <f>ABS(AW6-AW8)</f>
        <v>1.3755638758213062</v>
      </c>
      <c r="AY23">
        <f>SQRT(AY10/AZ10/HARMEAN(AX6,AX8))</f>
        <v>0.32643207964279608</v>
      </c>
      <c r="AZ23">
        <f t="shared" si="5"/>
        <v>4.2139359505552907</v>
      </c>
      <c r="BA23">
        <f t="shared" si="6"/>
        <v>-5.1923608456641013E-2</v>
      </c>
      <c r="BB23">
        <f t="shared" si="7"/>
        <v>2.8030513600992535</v>
      </c>
      <c r="BC23" s="34">
        <f>[1]!QDIST(AZ23,COUNT($AX$4:$AX$9),AZ$10)</f>
        <v>6.3488981420209978E-2</v>
      </c>
      <c r="BD23">
        <f t="shared" si="8"/>
        <v>1.4274874842779472</v>
      </c>
      <c r="BE23" s="30">
        <f t="shared" si="9"/>
        <v>1.8845294476543644</v>
      </c>
    </row>
    <row r="24" spans="1:57" ht="15.75" thickBot="1" x14ac:dyDescent="0.3">
      <c r="P24" s="26" t="s">
        <v>178</v>
      </c>
      <c r="Q24" s="27"/>
      <c r="R24" s="27"/>
      <c r="S24" s="27"/>
      <c r="T24" s="27"/>
      <c r="U24" s="27"/>
      <c r="V24" s="27"/>
      <c r="W24" s="27"/>
      <c r="X24" s="27"/>
      <c r="Y24" s="27"/>
      <c r="Z24" s="27" t="s">
        <v>160</v>
      </c>
      <c r="AA24" s="27"/>
      <c r="AB24" s="27"/>
      <c r="AC24" s="27" t="s">
        <v>161</v>
      </c>
      <c r="AD24" s="27">
        <v>0.05</v>
      </c>
      <c r="AE24" s="27"/>
      <c r="AF24" s="27"/>
      <c r="AG24" s="27"/>
      <c r="AH24" s="27"/>
      <c r="AI24" s="28"/>
      <c r="AL24" s="29"/>
      <c r="AV24" s="34">
        <f>AV6</f>
        <v>20</v>
      </c>
      <c r="AW24">
        <f>AV9</f>
        <v>90</v>
      </c>
      <c r="AX24">
        <f>ABS(AW6-AW9)</f>
        <v>1.5826853924469302</v>
      </c>
      <c r="AY24">
        <f>SQRT(AY10/AZ10/HARMEAN(AX6,AX9))</f>
        <v>0.32643207964279608</v>
      </c>
      <c r="AZ24">
        <f t="shared" si="5"/>
        <v>4.8484370597975879</v>
      </c>
      <c r="BA24">
        <f t="shared" si="6"/>
        <v>0.15519790816898293</v>
      </c>
      <c r="BB24">
        <f t="shared" si="7"/>
        <v>3.0101728767248774</v>
      </c>
      <c r="BC24" s="34">
        <f>[1]!QDIST(AZ24,COUNT($AX$4:$AX$9),AZ$10)</f>
        <v>2.3713570960970709E-2</v>
      </c>
      <c r="BD24">
        <f t="shared" si="8"/>
        <v>1.4274874842779472</v>
      </c>
      <c r="BE24" s="30">
        <f t="shared" si="9"/>
        <v>2.1682869700673235</v>
      </c>
    </row>
    <row r="25" spans="1:57" ht="15.75" thickTop="1" x14ac:dyDescent="0.25">
      <c r="A25" s="50" t="s">
        <v>129</v>
      </c>
      <c r="B25" s="50"/>
      <c r="C25" s="50"/>
      <c r="D25" s="50"/>
      <c r="E25" s="50"/>
      <c r="F25" s="50"/>
      <c r="G25" s="50"/>
      <c r="J25" s="50" t="s">
        <v>134</v>
      </c>
      <c r="K25" s="50"/>
      <c r="L25" s="50"/>
      <c r="M25" s="50"/>
      <c r="N25" s="50"/>
      <c r="P25" s="29"/>
      <c r="Z25" s="36" t="s">
        <v>162</v>
      </c>
      <c r="AA25" s="36" t="s">
        <v>163</v>
      </c>
      <c r="AB25" s="36" t="s">
        <v>164</v>
      </c>
      <c r="AC25" s="36" t="s">
        <v>165</v>
      </c>
      <c r="AD25" s="36" t="s">
        <v>150</v>
      </c>
      <c r="AE25" s="36" t="s">
        <v>166</v>
      </c>
      <c r="AI25" s="30"/>
      <c r="AL25" s="29"/>
      <c r="AV25">
        <f>AV7</f>
        <v>30</v>
      </c>
      <c r="AW25">
        <f>AV8</f>
        <v>60</v>
      </c>
      <c r="AX25">
        <f>ABS(AW7-AW8)</f>
        <v>1.3676668509565446</v>
      </c>
      <c r="AY25">
        <f>SQRT(AY10/AZ10/HARMEAN(AX7,AX8))</f>
        <v>0.32643207964279608</v>
      </c>
      <c r="AZ25">
        <f t="shared" si="5"/>
        <v>4.189744011842027</v>
      </c>
      <c r="BA25">
        <f t="shared" si="6"/>
        <v>-5.9820633321402639E-2</v>
      </c>
      <c r="BB25">
        <f t="shared" si="7"/>
        <v>2.7951543352344919</v>
      </c>
      <c r="BC25">
        <f>[1]!QDIST(AZ25,COUNT($AX$4:$AX$9),AZ$10)</f>
        <v>6.5809775538282711E-2</v>
      </c>
      <c r="BD25">
        <f t="shared" si="8"/>
        <v>1.4274874842779472</v>
      </c>
      <c r="BE25" s="30">
        <f t="shared" si="9"/>
        <v>1.8737104837602911</v>
      </c>
    </row>
    <row r="26" spans="1:57" ht="15.75" thickBot="1" x14ac:dyDescent="0.3">
      <c r="A26" t="s">
        <v>110</v>
      </c>
      <c r="B26">
        <v>0</v>
      </c>
      <c r="C26">
        <v>10</v>
      </c>
      <c r="D26">
        <v>20</v>
      </c>
      <c r="E26">
        <v>30</v>
      </c>
      <c r="F26">
        <v>60</v>
      </c>
      <c r="G26">
        <v>90</v>
      </c>
      <c r="J26" t="s">
        <v>126</v>
      </c>
      <c r="K26" t="s">
        <v>127</v>
      </c>
      <c r="L26" t="s">
        <v>128</v>
      </c>
      <c r="M26" t="s">
        <v>129</v>
      </c>
      <c r="N26" t="s">
        <v>130</v>
      </c>
      <c r="P26" s="29" t="s">
        <v>137</v>
      </c>
      <c r="U26" t="s">
        <v>138</v>
      </c>
      <c r="V26">
        <v>0.05</v>
      </c>
      <c r="Z26" t="str">
        <f>J10</f>
        <v>0 ng/mL</v>
      </c>
      <c r="AA26">
        <f>AVERAGE(J11:J15)</f>
        <v>1.1635105640707388</v>
      </c>
      <c r="AB26">
        <f>COUNT(J11:J15)</f>
        <v>5</v>
      </c>
      <c r="AC26">
        <f>DEVSQ(J11:J15)</f>
        <v>3.5401517650210019</v>
      </c>
      <c r="AI26" s="30"/>
      <c r="AL26" s="29"/>
      <c r="AV26">
        <f>AV7</f>
        <v>30</v>
      </c>
      <c r="AW26">
        <f>AV9</f>
        <v>90</v>
      </c>
      <c r="AX26">
        <f>ABS(AW7-AW9)</f>
        <v>1.5747883675821686</v>
      </c>
      <c r="AY26">
        <f>SQRT(AY10/AZ10/HARMEAN(AX7,AX9))</f>
        <v>0.32643207964279608</v>
      </c>
      <c r="AZ26">
        <f t="shared" si="5"/>
        <v>4.8242451210843242</v>
      </c>
      <c r="BA26">
        <f t="shared" si="6"/>
        <v>0.14730088330422131</v>
      </c>
      <c r="BB26">
        <f t="shared" si="7"/>
        <v>3.0022758518601158</v>
      </c>
      <c r="BC26">
        <f>[1]!QDIST(AZ26,COUNT($AX$4:$AX$9),AZ$10)</f>
        <v>2.4653656497844123E-2</v>
      </c>
      <c r="BD26">
        <f t="shared" si="8"/>
        <v>1.4274874842779472</v>
      </c>
      <c r="BE26" s="30">
        <f t="shared" si="9"/>
        <v>2.1574680061732505</v>
      </c>
    </row>
    <row r="27" spans="1:57" ht="16.5" thickTop="1" thickBot="1" x14ac:dyDescent="0.3">
      <c r="A27" t="s">
        <v>98</v>
      </c>
      <c r="B27">
        <v>1</v>
      </c>
      <c r="C27">
        <v>2.4811488529383405</v>
      </c>
      <c r="D27">
        <v>1.7610431262422652</v>
      </c>
      <c r="E27">
        <v>1.6643780430291886</v>
      </c>
      <c r="F27">
        <v>2.3304178880964712</v>
      </c>
      <c r="G27">
        <v>9.194410088426606</v>
      </c>
      <c r="J27">
        <v>0.42645187344644908</v>
      </c>
      <c r="K27">
        <v>4.4197838559113576</v>
      </c>
      <c r="L27">
        <v>5.9442821395501921</v>
      </c>
      <c r="M27">
        <v>2.3304178880964712</v>
      </c>
      <c r="N27">
        <v>1.881604611339031</v>
      </c>
      <c r="P27" s="38" t="s">
        <v>139</v>
      </c>
      <c r="Q27" s="36" t="s">
        <v>140</v>
      </c>
      <c r="R27" s="36" t="s">
        <v>141</v>
      </c>
      <c r="S27" s="36" t="s">
        <v>142</v>
      </c>
      <c r="T27" s="36" t="s">
        <v>143</v>
      </c>
      <c r="U27" s="36" t="s">
        <v>144</v>
      </c>
      <c r="V27" s="36" t="s">
        <v>145</v>
      </c>
      <c r="W27" s="36" t="s">
        <v>146</v>
      </c>
      <c r="X27" s="36" t="s">
        <v>147</v>
      </c>
      <c r="Z27" t="str">
        <f>K10</f>
        <v>5 ng/mL</v>
      </c>
      <c r="AA27">
        <f>AVERAGE(K11:K15)</f>
        <v>1.2632367685825776</v>
      </c>
      <c r="AB27">
        <f>COUNT(K11:K15)</f>
        <v>5</v>
      </c>
      <c r="AC27">
        <f>DEVSQ(K11:K15)</f>
        <v>0.56000002836380602</v>
      </c>
      <c r="AI27" s="30"/>
      <c r="AL27" s="31"/>
      <c r="AM27" s="32"/>
      <c r="AN27" s="32"/>
      <c r="AO27" s="32"/>
      <c r="AP27" s="32"/>
      <c r="AQ27" s="32"/>
      <c r="AR27" s="32"/>
      <c r="AS27" s="32"/>
      <c r="AT27" s="32"/>
      <c r="AU27" s="32"/>
      <c r="AV27" s="32">
        <f>AV8</f>
        <v>60</v>
      </c>
      <c r="AW27" s="32">
        <f>AV9</f>
        <v>90</v>
      </c>
      <c r="AX27" s="32">
        <f>ABS(AW8-AW9)</f>
        <v>0.20712151662562395</v>
      </c>
      <c r="AY27" s="32">
        <f>SQRT(AY10/AZ10/HARMEAN(AX8,AX9))</f>
        <v>0.32643207964279608</v>
      </c>
      <c r="AZ27" s="32">
        <f t="shared" si="5"/>
        <v>0.63450110924229697</v>
      </c>
      <c r="BA27" s="32">
        <f t="shared" si="6"/>
        <v>-1.2203659676523233</v>
      </c>
      <c r="BB27" s="32">
        <f t="shared" si="7"/>
        <v>1.6346090009035712</v>
      </c>
      <c r="BC27" s="32">
        <f>[1]!QDIST(AZ27,COUNT($AX$4:$AX$9),AZ$10)</f>
        <v>0.99741623807244395</v>
      </c>
      <c r="BD27" s="32">
        <f t="shared" si="8"/>
        <v>1.4274874842779472</v>
      </c>
      <c r="BE27" s="33">
        <f t="shared" si="9"/>
        <v>0.28375752241295921</v>
      </c>
    </row>
    <row r="28" spans="1:57" ht="15.75" thickBot="1" x14ac:dyDescent="0.3">
      <c r="A28" t="s">
        <v>99</v>
      </c>
      <c r="B28">
        <v>1</v>
      </c>
      <c r="C28">
        <v>1.6215688794650429</v>
      </c>
      <c r="D28">
        <v>1.9109743459314839</v>
      </c>
      <c r="E28">
        <v>1.5577450102949397</v>
      </c>
      <c r="F28">
        <v>1.6147541622547024</v>
      </c>
      <c r="G28">
        <v>6.0591946938963366</v>
      </c>
      <c r="J28">
        <v>3.3201164314076443</v>
      </c>
      <c r="K28">
        <v>2.1013556386916044</v>
      </c>
      <c r="L28">
        <v>3.6602773049252484</v>
      </c>
      <c r="M28">
        <v>1.6147541622547024</v>
      </c>
      <c r="N28">
        <v>3.1258411693152923</v>
      </c>
      <c r="P28" s="29" t="str">
        <f>J10</f>
        <v>0 ng/mL</v>
      </c>
      <c r="Q28">
        <f>COUNT(J11:J15)</f>
        <v>5</v>
      </c>
      <c r="R28">
        <f>SUM(J11:J15)</f>
        <v>5.8175528203536944</v>
      </c>
      <c r="S28">
        <f>AVERAGE(J11:J15)</f>
        <v>1.1635105640707388</v>
      </c>
      <c r="T28">
        <f>_xlfn.VAR.S(J11:J15)</f>
        <v>0.88503794125525048</v>
      </c>
      <c r="U28">
        <f>DEVSQ(J11:J15)</f>
        <v>3.5401517650210019</v>
      </c>
      <c r="V28">
        <f>SQRT(S37/Q28)</f>
        <v>0.40198273958321173</v>
      </c>
      <c r="W28">
        <f>S28-V28*_xlfn.T.INV.2T(V26,R37)</f>
        <v>0.32498926286836605</v>
      </c>
      <c r="X28">
        <f>S28+V28*_xlfn.T.INV.2T(V26,R37)</f>
        <v>2.0020318652731115</v>
      </c>
      <c r="Z28" t="str">
        <f>L10</f>
        <v>10 ng/mL</v>
      </c>
      <c r="AA28">
        <f>AVERAGE(L11:L15)</f>
        <v>5.6780208019615603</v>
      </c>
      <c r="AB28">
        <f>COUNT(L11:L15)</f>
        <v>5</v>
      </c>
      <c r="AC28">
        <f>DEVSQ(L11:L15)</f>
        <v>10.824058747091849</v>
      </c>
      <c r="AI28" s="30"/>
    </row>
    <row r="29" spans="1:57" ht="15.75" thickBot="1" x14ac:dyDescent="0.3">
      <c r="A29" t="s">
        <v>100</v>
      </c>
      <c r="B29">
        <v>1</v>
      </c>
      <c r="C29">
        <v>0.86982770905220008</v>
      </c>
      <c r="D29">
        <v>1.5604150485591761</v>
      </c>
      <c r="E29">
        <v>1.7928293747021788</v>
      </c>
      <c r="F29">
        <v>2.1230544137568317</v>
      </c>
      <c r="G29">
        <v>2.5277435751161037</v>
      </c>
      <c r="J29">
        <v>1.221645126682614</v>
      </c>
      <c r="K29">
        <v>2.1003160183637584</v>
      </c>
      <c r="L29">
        <v>2.405588404554877</v>
      </c>
      <c r="M29">
        <v>2.1230544137568317</v>
      </c>
      <c r="N29">
        <v>2.5867337538482924</v>
      </c>
      <c r="P29" s="29" t="str">
        <f>K10</f>
        <v>5 ng/mL</v>
      </c>
      <c r="Q29">
        <f>COUNT(K11:K15)</f>
        <v>5</v>
      </c>
      <c r="R29">
        <f>SUM(K11:K15)</f>
        <v>6.3161838429128876</v>
      </c>
      <c r="S29">
        <f>AVERAGE(K11:K15)</f>
        <v>1.2632367685825776</v>
      </c>
      <c r="T29">
        <f>_xlfn.VAR.S(K11:K15)</f>
        <v>0.14000000709095151</v>
      </c>
      <c r="U29">
        <f>DEVSQ(K11:K15)</f>
        <v>0.56000002836380602</v>
      </c>
      <c r="V29">
        <f>SQRT(S37/Q29)</f>
        <v>0.40198273958321173</v>
      </c>
      <c r="W29">
        <f>S29-V29*_xlfn.T.INV.2T(V26,R37)</f>
        <v>0.42471546738020483</v>
      </c>
      <c r="X29">
        <f>S29+V29*_xlfn.T.INV.2T(V26,R37)</f>
        <v>2.1017580697849505</v>
      </c>
      <c r="Z29" t="str">
        <f>M10</f>
        <v>15 ng/mL</v>
      </c>
      <c r="AA29">
        <f>AVERAGE(M11:M15)</f>
        <v>1.532879866080505</v>
      </c>
      <c r="AB29">
        <f>COUNT(M11:M15)</f>
        <v>5</v>
      </c>
      <c r="AC29">
        <f>DEVSQ(M11:M15)</f>
        <v>0.51211640309440287</v>
      </c>
      <c r="AI29" s="30"/>
      <c r="AL29" s="26" t="s">
        <v>183</v>
      </c>
      <c r="AM29" s="27"/>
      <c r="AN29" s="27"/>
      <c r="AO29" s="27"/>
      <c r="AP29" s="27"/>
      <c r="AQ29" s="27"/>
      <c r="AR29" s="27"/>
      <c r="AS29" s="27"/>
      <c r="AT29" s="27"/>
      <c r="AU29" s="27"/>
      <c r="AV29" s="27" t="s">
        <v>160</v>
      </c>
      <c r="AW29" s="27"/>
      <c r="AX29" s="27"/>
      <c r="AY29" s="27" t="s">
        <v>161</v>
      </c>
      <c r="AZ29" s="27">
        <v>0.05</v>
      </c>
      <c r="BA29" s="27"/>
      <c r="BB29" s="27"/>
      <c r="BC29" s="27"/>
      <c r="BD29" s="27"/>
      <c r="BE29" s="28"/>
    </row>
    <row r="30" spans="1:57" ht="15.75" thickTop="1" x14ac:dyDescent="0.25">
      <c r="A30" t="s">
        <v>101</v>
      </c>
      <c r="B30">
        <v>1</v>
      </c>
      <c r="C30">
        <v>0.80369285052080475</v>
      </c>
      <c r="D30">
        <v>0.97567363231322457</v>
      </c>
      <c r="E30">
        <v>2.1456582115049407</v>
      </c>
      <c r="F30">
        <v>3.0931388407237632</v>
      </c>
      <c r="G30">
        <v>2.686723020535021</v>
      </c>
      <c r="J30">
        <v>1.9228364374481011</v>
      </c>
      <c r="K30">
        <v>2.4964362783499978</v>
      </c>
      <c r="L30">
        <v>3.2472397957909229</v>
      </c>
      <c r="M30">
        <v>3.0931388407237632</v>
      </c>
      <c r="N30">
        <v>2.5712049468516356</v>
      </c>
      <c r="P30" s="29" t="str">
        <f>L10</f>
        <v>10 ng/mL</v>
      </c>
      <c r="Q30">
        <f>COUNT(L11:L15)</f>
        <v>5</v>
      </c>
      <c r="R30">
        <f>SUM(L11:L15)</f>
        <v>28.390104009807803</v>
      </c>
      <c r="S30">
        <f>AVERAGE(L11:L15)</f>
        <v>5.6780208019615603</v>
      </c>
      <c r="T30">
        <f>_xlfn.VAR.S(L11:L15)</f>
        <v>2.7060146867729458</v>
      </c>
      <c r="U30">
        <f>DEVSQ(L11:L15)</f>
        <v>10.824058747091849</v>
      </c>
      <c r="V30">
        <f>SQRT(S37/Q30)</f>
        <v>0.40198273958321173</v>
      </c>
      <c r="W30">
        <f>S30-V30*_xlfn.T.INV.2T(V26,R37)</f>
        <v>4.8394995007591879</v>
      </c>
      <c r="X30">
        <f>S30+V30*_xlfn.T.INV.2T(V26,R37)</f>
        <v>6.5165421031639328</v>
      </c>
      <c r="Z30" t="str">
        <f>N10</f>
        <v>20 ng/mL</v>
      </c>
      <c r="AA30">
        <f>AVERAGE(N11:N15)</f>
        <v>1.7215974394471327</v>
      </c>
      <c r="AB30">
        <f>COUNT(N11:N15)</f>
        <v>5</v>
      </c>
      <c r="AC30">
        <f>DEVSQ(N11:N15)</f>
        <v>0.72268534871135981</v>
      </c>
      <c r="AI30" s="30"/>
      <c r="AL30" s="29"/>
      <c r="AV30" s="36" t="s">
        <v>162</v>
      </c>
      <c r="AW30" s="36" t="s">
        <v>163</v>
      </c>
      <c r="AX30" s="36" t="s">
        <v>164</v>
      </c>
      <c r="AY30" s="36" t="s">
        <v>165</v>
      </c>
      <c r="AZ30" s="36" t="s">
        <v>150</v>
      </c>
      <c r="BA30" s="36" t="s">
        <v>166</v>
      </c>
      <c r="BE30" s="30"/>
    </row>
    <row r="31" spans="1:57" ht="15.75" thickBot="1" x14ac:dyDescent="0.3">
      <c r="A31" t="s">
        <v>102</v>
      </c>
      <c r="B31">
        <v>1</v>
      </c>
      <c r="C31">
        <v>1.7734455845214601</v>
      </c>
      <c r="D31">
        <v>1.4562931773563754</v>
      </c>
      <c r="E31">
        <v>1.8678895397709525</v>
      </c>
      <c r="F31">
        <v>4.1749643745299059</v>
      </c>
      <c r="G31">
        <v>4.3234404865030305</v>
      </c>
      <c r="J31">
        <v>2.3859244129165798</v>
      </c>
      <c r="K31">
        <v>2.0761114307026993</v>
      </c>
      <c r="L31">
        <v>4.7389125583204113</v>
      </c>
      <c r="M31">
        <v>4.1749643745299059</v>
      </c>
      <c r="N31">
        <v>2.7922431972696256</v>
      </c>
      <c r="P31" s="29" t="str">
        <f>M10</f>
        <v>15 ng/mL</v>
      </c>
      <c r="Q31">
        <f>COUNT(M11:M15)</f>
        <v>5</v>
      </c>
      <c r="R31">
        <f>SUM(M11:M15)</f>
        <v>7.6643993304025253</v>
      </c>
      <c r="S31">
        <f>AVERAGE(M11:M15)</f>
        <v>1.532879866080505</v>
      </c>
      <c r="T31">
        <f>_xlfn.VAR.S(M11:M15)</f>
        <v>0.1280291007736003</v>
      </c>
      <c r="U31">
        <f>DEVSQ(M11:M15)</f>
        <v>0.51211640309440287</v>
      </c>
      <c r="V31">
        <f>SQRT(S37/Q31)</f>
        <v>0.40198273958321173</v>
      </c>
      <c r="W31">
        <f>S31-V31*_xlfn.T.INV.2T(V26,R37)</f>
        <v>0.69435856487813219</v>
      </c>
      <c r="X31">
        <f>S31+V31*_xlfn.T.INV.2T(V26,R37)</f>
        <v>2.3714011672828779</v>
      </c>
      <c r="Z31" s="37"/>
      <c r="AA31" s="37"/>
      <c r="AB31" s="37">
        <f>SUM(AB26:AB30)</f>
        <v>25</v>
      </c>
      <c r="AC31" s="37">
        <f>SUM(AC26:AC30)</f>
        <v>16.159012292282419</v>
      </c>
      <c r="AD31" s="37">
        <f>AB31-COUNT(AB26:AB30)</f>
        <v>20</v>
      </c>
      <c r="AE31" s="37">
        <f>[1]!QCRIT(COUNT(AB26:AB30),AD31,AD24,2)</f>
        <v>4.2320000000000002</v>
      </c>
      <c r="AI31" s="30"/>
      <c r="AL31" s="29" t="s">
        <v>137</v>
      </c>
      <c r="AQ31" t="s">
        <v>138</v>
      </c>
      <c r="AR31">
        <v>0.05</v>
      </c>
      <c r="AV31">
        <f>B18</f>
        <v>0</v>
      </c>
      <c r="AW31">
        <f>AVERAGE(B19:B23)</f>
        <v>1</v>
      </c>
      <c r="AX31">
        <f>COUNT(B19:B23)</f>
        <v>5</v>
      </c>
      <c r="AY31">
        <f>DEVSQ(B19:B23)</f>
        <v>0</v>
      </c>
      <c r="BE31" s="30"/>
    </row>
    <row r="32" spans="1:57" ht="16.5" thickTop="1" thickBot="1" x14ac:dyDescent="0.3">
      <c r="P32" s="29" t="str">
        <f>N10</f>
        <v>20 ng/mL</v>
      </c>
      <c r="Q32">
        <f>COUNT(N11:N15)</f>
        <v>5</v>
      </c>
      <c r="R32">
        <f>SUM(N11:N15)</f>
        <v>8.6079871972356639</v>
      </c>
      <c r="S32">
        <f>AVERAGE(N11:N15)</f>
        <v>1.7215974394471327</v>
      </c>
      <c r="T32">
        <f>_xlfn.VAR.S(N11:N15)</f>
        <v>0.18067133717783967</v>
      </c>
      <c r="U32">
        <f>DEVSQ(N11:N15)</f>
        <v>0.72268534871135981</v>
      </c>
      <c r="V32">
        <f>SQRT(S37/Q32)</f>
        <v>0.40198273958321173</v>
      </c>
      <c r="W32">
        <f>S32-V32*_xlfn.T.INV.2T(V26,R37)</f>
        <v>0.88307613824475995</v>
      </c>
      <c r="X32">
        <f>S32+V32*_xlfn.T.INV.2T(V26,R37)</f>
        <v>2.5601187406495054</v>
      </c>
      <c r="Z32" t="s">
        <v>167</v>
      </c>
      <c r="AI32" s="30"/>
      <c r="AL32" s="38" t="s">
        <v>139</v>
      </c>
      <c r="AM32" s="36" t="s">
        <v>140</v>
      </c>
      <c r="AN32" s="36" t="s">
        <v>141</v>
      </c>
      <c r="AO32" s="36" t="s">
        <v>142</v>
      </c>
      <c r="AP32" s="36" t="s">
        <v>143</v>
      </c>
      <c r="AQ32" s="36" t="s">
        <v>144</v>
      </c>
      <c r="AR32" s="36" t="s">
        <v>145</v>
      </c>
      <c r="AS32" s="36" t="s">
        <v>146</v>
      </c>
      <c r="AT32" s="36" t="s">
        <v>147</v>
      </c>
      <c r="AV32">
        <f>C18</f>
        <v>10</v>
      </c>
      <c r="AW32">
        <f>AVERAGE(C19:C23)</f>
        <v>2.4170599570110811</v>
      </c>
      <c r="AX32">
        <f>COUNT(C19:C23)</f>
        <v>5</v>
      </c>
      <c r="AY32">
        <f>DEVSQ(C19:C23)</f>
        <v>10.966710559914523</v>
      </c>
      <c r="BE32" s="30"/>
    </row>
    <row r="33" spans="1:57" ht="15.75" thickTop="1" x14ac:dyDescent="0.25">
      <c r="A33" s="50" t="s">
        <v>130</v>
      </c>
      <c r="B33" s="50"/>
      <c r="C33" s="50"/>
      <c r="D33" s="50"/>
      <c r="E33" s="50"/>
      <c r="F33" s="50"/>
      <c r="G33" s="50"/>
      <c r="J33" s="50" t="s">
        <v>135</v>
      </c>
      <c r="K33" s="50"/>
      <c r="L33" s="50"/>
      <c r="M33" s="50"/>
      <c r="N33" s="50"/>
      <c r="P33" s="39"/>
      <c r="Q33" s="37"/>
      <c r="R33" s="37"/>
      <c r="S33" s="37"/>
      <c r="T33" s="37"/>
      <c r="U33" s="37"/>
      <c r="V33" s="37"/>
      <c r="W33" s="37"/>
      <c r="X33" s="37"/>
      <c r="Z33" s="36" t="s">
        <v>168</v>
      </c>
      <c r="AA33" s="36" t="s">
        <v>169</v>
      </c>
      <c r="AB33" s="36" t="s">
        <v>163</v>
      </c>
      <c r="AC33" s="36" t="s">
        <v>170</v>
      </c>
      <c r="AD33" s="36" t="s">
        <v>171</v>
      </c>
      <c r="AE33" s="36" t="s">
        <v>172</v>
      </c>
      <c r="AF33" s="36" t="s">
        <v>173</v>
      </c>
      <c r="AG33" s="36" t="s">
        <v>174</v>
      </c>
      <c r="AH33" s="36" t="s">
        <v>175</v>
      </c>
      <c r="AI33" s="40" t="s">
        <v>176</v>
      </c>
      <c r="AL33" s="29">
        <f>B18</f>
        <v>0</v>
      </c>
      <c r="AM33">
        <f>COUNT(B19:B23)</f>
        <v>5</v>
      </c>
      <c r="AN33">
        <f>SUM(B19:B23)</f>
        <v>5</v>
      </c>
      <c r="AO33">
        <f>AVERAGE(B19:B23)</f>
        <v>1</v>
      </c>
      <c r="AP33">
        <f>_xlfn.VAR.S(B19:B23)</f>
        <v>0</v>
      </c>
      <c r="AQ33">
        <f>DEVSQ(B19:B23)</f>
        <v>0</v>
      </c>
      <c r="AR33">
        <f>SQRT(AO43/AM33)</f>
        <v>0.79699485306654916</v>
      </c>
      <c r="AS33">
        <f>AO33-AR33*_xlfn.T.INV.2T(AR31,AN43)</f>
        <v>-0.64491653086899037</v>
      </c>
      <c r="AT33">
        <f>AO33+AR33*_xlfn.T.INV.2T(AR31,AN43)</f>
        <v>2.6449165308689904</v>
      </c>
      <c r="AV33">
        <f>D18</f>
        <v>20</v>
      </c>
      <c r="AW33">
        <f>AVERAGE(D19:D23)</f>
        <v>5.6780208019615603</v>
      </c>
      <c r="AX33">
        <f>COUNT(D19:D23)</f>
        <v>5</v>
      </c>
      <c r="AY33">
        <f>DEVSQ(D19:D23)</f>
        <v>10.824058747091849</v>
      </c>
      <c r="BE33" s="30"/>
    </row>
    <row r="34" spans="1:57" ht="15.75" thickBot="1" x14ac:dyDescent="0.3">
      <c r="A34" t="s">
        <v>110</v>
      </c>
      <c r="B34">
        <v>0</v>
      </c>
      <c r="C34">
        <v>10</v>
      </c>
      <c r="D34">
        <v>20</v>
      </c>
      <c r="E34">
        <v>30</v>
      </c>
      <c r="F34">
        <v>60</v>
      </c>
      <c r="G34">
        <v>90</v>
      </c>
      <c r="J34" t="s">
        <v>126</v>
      </c>
      <c r="K34" t="s">
        <v>127</v>
      </c>
      <c r="L34" t="s">
        <v>128</v>
      </c>
      <c r="M34" t="s">
        <v>129</v>
      </c>
      <c r="N34" t="s">
        <v>130</v>
      </c>
      <c r="P34" s="29" t="s">
        <v>148</v>
      </c>
      <c r="Z34" s="37" t="str">
        <f>Z26</f>
        <v>0 ng/mL</v>
      </c>
      <c r="AA34" s="37" t="str">
        <f>Z27</f>
        <v>5 ng/mL</v>
      </c>
      <c r="AB34" s="37">
        <f>ABS(AA26-AA27)</f>
        <v>9.9726204511838779E-2</v>
      </c>
      <c r="AC34" s="37">
        <f>SQRT(AC31/AD31/HARMEAN(AB26,AB27))</f>
        <v>0.40198273958321173</v>
      </c>
      <c r="AD34" s="37">
        <f>AB34/AC34</f>
        <v>0.24808578750231422</v>
      </c>
      <c r="AE34" s="37">
        <f>AB34-AC34*AE$31</f>
        <v>-1.6014647494043133</v>
      </c>
      <c r="AF34" s="37">
        <f>AB34+AC34*AE$31</f>
        <v>1.8009171584279908</v>
      </c>
      <c r="AG34" s="37">
        <f>[1]!QDIST(AD34,COUNT($AB$26:$AB$30),AD$31)</f>
        <v>0.99976801623449651</v>
      </c>
      <c r="AH34" s="37">
        <f>AC34*AE$31</f>
        <v>1.701190953916152</v>
      </c>
      <c r="AI34" s="41">
        <f>AB34*SQRT(AD$31/AC$31)</f>
        <v>0.11094733702134847</v>
      </c>
      <c r="AL34" s="29">
        <f>C18</f>
        <v>10</v>
      </c>
      <c r="AM34">
        <f>COUNT(C19:C23)</f>
        <v>5</v>
      </c>
      <c r="AN34">
        <f>SUM(C19:C23)</f>
        <v>12.085299785055406</v>
      </c>
      <c r="AO34">
        <f>AVERAGE(C19:C23)</f>
        <v>2.4170599570110811</v>
      </c>
      <c r="AP34">
        <f>_xlfn.VAR.S(C19:C23)</f>
        <v>2.7416776399786293</v>
      </c>
      <c r="AQ34">
        <f>DEVSQ(C19:C23)</f>
        <v>10.966710559914523</v>
      </c>
      <c r="AR34">
        <f>SQRT(AO43/AM34)</f>
        <v>0.79699485306654916</v>
      </c>
      <c r="AS34">
        <f>AO34-AR34*_xlfn.T.INV.2T(AR31,AN43)</f>
        <v>0.77214342614209075</v>
      </c>
      <c r="AT34">
        <f>AO34+AR34*_xlfn.T.INV.2T(AR31,AN43)</f>
        <v>4.0619764878800719</v>
      </c>
      <c r="AV34">
        <f>E18</f>
        <v>30</v>
      </c>
      <c r="AW34">
        <f>AVERAGE(E19:E23)</f>
        <v>2.7028786198039136</v>
      </c>
      <c r="AX34">
        <f>COUNT(E19:E23)</f>
        <v>5</v>
      </c>
      <c r="AY34">
        <f>DEVSQ(E19:E23)</f>
        <v>8.0709985921817999</v>
      </c>
      <c r="BE34" s="30"/>
    </row>
    <row r="35" spans="1:57" ht="15.75" thickTop="1" x14ac:dyDescent="0.25">
      <c r="A35" t="s">
        <v>98</v>
      </c>
      <c r="B35">
        <v>1</v>
      </c>
      <c r="C35">
        <v>0.66084479846329336</v>
      </c>
      <c r="D35">
        <v>1.1171210526206468</v>
      </c>
      <c r="E35">
        <v>1.6580569960574021</v>
      </c>
      <c r="F35">
        <v>1.881604611339031</v>
      </c>
      <c r="G35">
        <v>2.3537733858729326</v>
      </c>
      <c r="J35">
        <v>0.63972831708851541</v>
      </c>
      <c r="K35">
        <v>4.6570216401339923</v>
      </c>
      <c r="L35">
        <v>8.8608374772109944</v>
      </c>
      <c r="M35">
        <v>9.194410088426606</v>
      </c>
      <c r="N35">
        <v>2.3537733858729326</v>
      </c>
      <c r="P35" s="38" t="s">
        <v>149</v>
      </c>
      <c r="Q35" s="36" t="s">
        <v>144</v>
      </c>
      <c r="R35" s="36" t="s">
        <v>150</v>
      </c>
      <c r="S35" s="36" t="s">
        <v>151</v>
      </c>
      <c r="T35" s="36" t="s">
        <v>152</v>
      </c>
      <c r="U35" s="36" t="s">
        <v>153</v>
      </c>
      <c r="V35" s="36" t="s">
        <v>154</v>
      </c>
      <c r="W35" s="36" t="s">
        <v>155</v>
      </c>
      <c r="X35" s="36" t="s">
        <v>156</v>
      </c>
      <c r="Z35" t="str">
        <f>Z26</f>
        <v>0 ng/mL</v>
      </c>
      <c r="AA35" s="34" t="str">
        <f>Z28</f>
        <v>10 ng/mL</v>
      </c>
      <c r="AB35">
        <f>ABS(AA26-AA28)</f>
        <v>4.5145102378908213</v>
      </c>
      <c r="AC35">
        <f>SQRT(AC31/AD31/HARMEAN(AB26,AB28))</f>
        <v>0.40198273958321173</v>
      </c>
      <c r="AD35">
        <f t="shared" ref="AD35:AD43" si="10">AB35/AC35</f>
        <v>11.230607171272096</v>
      </c>
      <c r="AE35">
        <f t="shared" ref="AE35:AE43" si="11">AB35-AC35*AE$31</f>
        <v>2.8133192839746695</v>
      </c>
      <c r="AF35">
        <f t="shared" ref="AF35:AF43" si="12">AB35+AC35*AE$31</f>
        <v>6.2157011918069731</v>
      </c>
      <c r="AG35" s="34">
        <f>[1]!QDIST(AD35,COUNT($AB$26:$AB$30),AD$31)</f>
        <v>1.2023277544681577E-6</v>
      </c>
      <c r="AH35">
        <f t="shared" ref="AH35:AH43" si="13">AC35*AE$31</f>
        <v>1.701190953916152</v>
      </c>
      <c r="AI35" s="30">
        <f t="shared" ref="AI35:AI43" si="14">AB35*SQRT(AD$31/AC$31)</f>
        <v>5.0224802127122068</v>
      </c>
      <c r="AL35" s="29">
        <f>D18</f>
        <v>20</v>
      </c>
      <c r="AM35">
        <f>COUNT(D19:D23)</f>
        <v>5</v>
      </c>
      <c r="AN35">
        <f>SUM(D19:D23)</f>
        <v>28.390104009807803</v>
      </c>
      <c r="AO35">
        <f>AVERAGE(D19:D23)</f>
        <v>5.6780208019615603</v>
      </c>
      <c r="AP35">
        <f>_xlfn.VAR.S(D19:D23)</f>
        <v>2.7060146867729458</v>
      </c>
      <c r="AQ35">
        <f>DEVSQ(D19:D23)</f>
        <v>10.824058747091849</v>
      </c>
      <c r="AR35">
        <f>SQRT(AO43/AM35)</f>
        <v>0.79699485306654916</v>
      </c>
      <c r="AS35">
        <f>AO35-AR35*_xlfn.T.INV.2T(AR31,AN43)</f>
        <v>4.0331042710925704</v>
      </c>
      <c r="AT35">
        <f>AO35+AR35*_xlfn.T.INV.2T(AR31,AN43)</f>
        <v>7.3229373328305503</v>
      </c>
      <c r="AV35">
        <f>F18</f>
        <v>60</v>
      </c>
      <c r="AW35">
        <f>AVERAGE(F19:F23)</f>
        <v>3.9992600406283301</v>
      </c>
      <c r="AX35">
        <f>COUNT(F19:F23)</f>
        <v>5</v>
      </c>
      <c r="AY35">
        <f>DEVSQ(F19:F23)</f>
        <v>7.5504298395977356</v>
      </c>
      <c r="BE35" s="30"/>
    </row>
    <row r="36" spans="1:57" x14ac:dyDescent="0.25">
      <c r="A36" t="s">
        <v>99</v>
      </c>
      <c r="B36">
        <v>1</v>
      </c>
      <c r="C36">
        <v>2.1250938280244545</v>
      </c>
      <c r="D36">
        <v>1.6060242697457863</v>
      </c>
      <c r="E36">
        <v>2.5106116737489503</v>
      </c>
      <c r="F36">
        <v>3.1258411693152923</v>
      </c>
      <c r="G36">
        <v>6.4078624353553151</v>
      </c>
      <c r="J36">
        <v>4.907188384981624</v>
      </c>
      <c r="K36">
        <v>2.5800571346115979</v>
      </c>
      <c r="L36">
        <v>2.8376765935237569</v>
      </c>
      <c r="M36">
        <v>6.0591946938963366</v>
      </c>
      <c r="N36">
        <v>6.4078624353553151</v>
      </c>
      <c r="P36" s="29" t="s">
        <v>157</v>
      </c>
      <c r="Q36">
        <f>Q38-Q37</f>
        <v>73.482856135887857</v>
      </c>
      <c r="R36">
        <f>COUNTA(P28:P32)-1</f>
        <v>4</v>
      </c>
      <c r="S36">
        <f>Q36/R36</f>
        <v>18.370714033971964</v>
      </c>
      <c r="T36">
        <f>S36/S37</f>
        <v>22.737421943475912</v>
      </c>
      <c r="U36">
        <f>_xlfn.F.DIST.RT(T36,R36,R37)</f>
        <v>3.3319869856846603E-7</v>
      </c>
      <c r="V36">
        <f>Q36/Q38</f>
        <v>0.81973811372271232</v>
      </c>
      <c r="W36">
        <f>SQRT(DEVSQ(S28:S32)/(S37*R36))</f>
        <v>2.1324831508584499</v>
      </c>
      <c r="X36">
        <f>(Q38-R38*S37)/(Q38+S37)</f>
        <v>0.77668539772535494</v>
      </c>
      <c r="Z36" t="str">
        <f>Z26</f>
        <v>0 ng/mL</v>
      </c>
      <c r="AA36" t="str">
        <f>Z29</f>
        <v>15 ng/mL</v>
      </c>
      <c r="AB36">
        <f>ABS(AA26-AA29)</f>
        <v>0.36936930200976614</v>
      </c>
      <c r="AC36">
        <f>SQRT(AC31/AD31/HARMEAN(AB26,AB29))</f>
        <v>0.40198273958321173</v>
      </c>
      <c r="AD36">
        <f t="shared" si="10"/>
        <v>0.91886856234857195</v>
      </c>
      <c r="AE36">
        <f t="shared" si="11"/>
        <v>-1.3318216519063859</v>
      </c>
      <c r="AF36">
        <f t="shared" si="12"/>
        <v>2.0705602559259182</v>
      </c>
      <c r="AG36">
        <f>[1]!QDIST(AD36,COUNT($AB$26:$AB$30),AD$31)</f>
        <v>0.96469410316255655</v>
      </c>
      <c r="AH36">
        <f t="shared" si="13"/>
        <v>1.701190953916152</v>
      </c>
      <c r="AI36" s="30">
        <f t="shared" si="14"/>
        <v>0.41093051355978216</v>
      </c>
      <c r="AL36" s="29">
        <f>E18</f>
        <v>30</v>
      </c>
      <c r="AM36">
        <f>COUNT(E19:E23)</f>
        <v>5</v>
      </c>
      <c r="AN36">
        <f>SUM(E19:E23)</f>
        <v>13.514393099019568</v>
      </c>
      <c r="AO36">
        <f>AVERAGE(E19:E23)</f>
        <v>2.7028786198039136</v>
      </c>
      <c r="AP36">
        <f>_xlfn.VAR.S(E19:E23)</f>
        <v>2.0177496480454469</v>
      </c>
      <c r="AQ36">
        <f>DEVSQ(E19:E23)</f>
        <v>8.0709985921817999</v>
      </c>
      <c r="AR36">
        <f>SQRT(AO43/AM36)</f>
        <v>0.79699485306654916</v>
      </c>
      <c r="AS36">
        <f>AO36-AR36*_xlfn.T.INV.2T(AR31,AN43)</f>
        <v>1.0579620889349233</v>
      </c>
      <c r="AT36">
        <f>AO36+AR36*_xlfn.T.INV.2T(AR31,AN43)</f>
        <v>4.347795150672904</v>
      </c>
      <c r="AV36">
        <f>G18</f>
        <v>90</v>
      </c>
      <c r="AW36">
        <f>AVERAGE(G19:G23)</f>
        <v>7.4946817776745505</v>
      </c>
      <c r="AX36">
        <f>COUNT(G19:G23)</f>
        <v>5</v>
      </c>
      <c r="AY36">
        <f>DEVSQ(G19:G23)</f>
        <v>38.81189775896253</v>
      </c>
      <c r="BE36" s="30"/>
    </row>
    <row r="37" spans="1:57" x14ac:dyDescent="0.25">
      <c r="A37" t="s">
        <v>100</v>
      </c>
      <c r="B37">
        <v>1</v>
      </c>
      <c r="C37">
        <v>1.0324693503279079</v>
      </c>
      <c r="D37">
        <v>2.2833787436222912</v>
      </c>
      <c r="E37">
        <v>1.920706155335268</v>
      </c>
      <c r="F37">
        <v>2.5867337538482924</v>
      </c>
      <c r="G37">
        <v>4.1445669570014063</v>
      </c>
      <c r="J37">
        <v>1.2924156085071772</v>
      </c>
      <c r="K37">
        <v>2.1842820759513106</v>
      </c>
      <c r="L37">
        <v>8.2380167433059412</v>
      </c>
      <c r="M37">
        <v>2.5277435751161037</v>
      </c>
      <c r="N37">
        <v>4.1445669570014063</v>
      </c>
      <c r="P37" s="29" t="s">
        <v>158</v>
      </c>
      <c r="Q37">
        <f>SUM(U28:U32)</f>
        <v>16.159012292282419</v>
      </c>
      <c r="R37">
        <f>R38-R36</f>
        <v>20</v>
      </c>
      <c r="S37">
        <f>Q37/R37</f>
        <v>0.80795061461412099</v>
      </c>
      <c r="Z37" t="str">
        <f>Z26</f>
        <v>0 ng/mL</v>
      </c>
      <c r="AA37" t="str">
        <f>Z30</f>
        <v>20 ng/mL</v>
      </c>
      <c r="AB37">
        <f>ABS(AA26-AA30)</f>
        <v>0.5580868753763939</v>
      </c>
      <c r="AC37">
        <f>SQRT(AC31/AD31/HARMEAN(AB26,AB30))</f>
        <v>0.40198273958321173</v>
      </c>
      <c r="AD37">
        <f t="shared" si="10"/>
        <v>1.3883354194636213</v>
      </c>
      <c r="AE37">
        <f t="shared" si="11"/>
        <v>-1.1431040785397582</v>
      </c>
      <c r="AF37">
        <f t="shared" si="12"/>
        <v>2.2592778292925457</v>
      </c>
      <c r="AG37">
        <f>[1]!QDIST(AD37,COUNT($AB$26:$AB$30),AD$31)</f>
        <v>0.86032487987914841</v>
      </c>
      <c r="AH37">
        <f t="shared" si="13"/>
        <v>1.701190953916152</v>
      </c>
      <c r="AI37" s="30">
        <f t="shared" si="14"/>
        <v>0.62088247469826841</v>
      </c>
      <c r="AL37" s="29">
        <f>F18</f>
        <v>60</v>
      </c>
      <c r="AM37">
        <f>COUNT(F19:F23)</f>
        <v>5</v>
      </c>
      <c r="AN37">
        <f>SUM(F19:F23)</f>
        <v>19.996300203141651</v>
      </c>
      <c r="AO37">
        <f>AVERAGE(F19:F23)</f>
        <v>3.9992600406283301</v>
      </c>
      <c r="AP37">
        <f>_xlfn.VAR.S(F19:F23)</f>
        <v>1.887607459899435</v>
      </c>
      <c r="AQ37">
        <f>DEVSQ(F19:F23)</f>
        <v>7.5504298395977356</v>
      </c>
      <c r="AR37">
        <f>SQRT(AO43/AM37)</f>
        <v>0.79699485306654916</v>
      </c>
      <c r="AS37">
        <f>AO37-AR37*_xlfn.T.INV.2T(AR31,AN43)</f>
        <v>2.3543435097593397</v>
      </c>
      <c r="AT37">
        <f>AO37+AR37*_xlfn.T.INV.2T(AR31,AN43)</f>
        <v>5.6441765714973204</v>
      </c>
      <c r="AV37" s="37"/>
      <c r="AW37" s="37"/>
      <c r="AX37" s="37">
        <f>SUM(AX31:AX36)</f>
        <v>30</v>
      </c>
      <c r="AY37" s="37">
        <f>SUM(AY31:AY36)</f>
        <v>76.224095497748436</v>
      </c>
      <c r="AZ37" s="37">
        <f>AX37-COUNT(AX31:AX36)</f>
        <v>24</v>
      </c>
      <c r="BA37" s="37">
        <f>[1]!QCRIT(COUNT(AX31:AX36),AZ37,AZ29,2)</f>
        <v>4.3730000000000002</v>
      </c>
      <c r="BE37" s="30"/>
    </row>
    <row r="38" spans="1:57" ht="15.75" thickBot="1" x14ac:dyDescent="0.3">
      <c r="A38" t="s">
        <v>101</v>
      </c>
      <c r="B38">
        <v>1</v>
      </c>
      <c r="C38">
        <v>1.6641003038501765</v>
      </c>
      <c r="D38">
        <v>1.8896524162537167</v>
      </c>
      <c r="E38">
        <v>3.9854542621451947</v>
      </c>
      <c r="F38">
        <v>2.5712049468516356</v>
      </c>
      <c r="G38">
        <v>3.9316083008343612</v>
      </c>
      <c r="J38">
        <v>5.0800341777798286</v>
      </c>
      <c r="K38">
        <v>1.3902280467885235</v>
      </c>
      <c r="L38">
        <v>11.162218172240372</v>
      </c>
      <c r="M38">
        <v>2.686723020535021</v>
      </c>
      <c r="N38">
        <v>3.9316083008343612</v>
      </c>
      <c r="P38" s="42" t="s">
        <v>159</v>
      </c>
      <c r="Q38" s="23">
        <f>DEVSQ(J11:N15)</f>
        <v>89.64186842817027</v>
      </c>
      <c r="R38" s="23">
        <f>COUNT(J11:N15)-1</f>
        <v>24</v>
      </c>
      <c r="S38" s="23">
        <f>Q38/R38</f>
        <v>3.7350778511737612</v>
      </c>
      <c r="T38" s="23"/>
      <c r="U38" s="23"/>
      <c r="V38" s="23"/>
      <c r="W38" s="23"/>
      <c r="X38" s="23"/>
      <c r="Z38" t="str">
        <f>Z27</f>
        <v>5 ng/mL</v>
      </c>
      <c r="AA38" s="34" t="str">
        <f>Z28</f>
        <v>10 ng/mL</v>
      </c>
      <c r="AB38">
        <f>ABS(AA27-AA28)</f>
        <v>4.4147840333789823</v>
      </c>
      <c r="AC38">
        <f>SQRT(AC31/AD31/HARMEAN(AB27,AB28))</f>
        <v>0.40198273958321173</v>
      </c>
      <c r="AD38">
        <f t="shared" si="10"/>
        <v>10.982521383769782</v>
      </c>
      <c r="AE38">
        <f t="shared" si="11"/>
        <v>2.7135930794628305</v>
      </c>
      <c r="AF38">
        <f t="shared" si="12"/>
        <v>6.1159749872951341</v>
      </c>
      <c r="AG38" s="34">
        <f>[1]!QDIST(AD38,COUNT($AB$26:$AB$30),AD$31)</f>
        <v>1.6895458798682483E-6</v>
      </c>
      <c r="AH38">
        <f t="shared" si="13"/>
        <v>1.701190953916152</v>
      </c>
      <c r="AI38" s="30">
        <f t="shared" si="14"/>
        <v>4.9115328756908578</v>
      </c>
      <c r="AL38" s="29">
        <f>G18</f>
        <v>90</v>
      </c>
      <c r="AM38">
        <f>COUNT(G19:G23)</f>
        <v>5</v>
      </c>
      <c r="AN38">
        <f>SUM(G19:G23)</f>
        <v>37.473408888372752</v>
      </c>
      <c r="AO38">
        <f>AVERAGE(G19:G23)</f>
        <v>7.4946817776745505</v>
      </c>
      <c r="AP38">
        <f>_xlfn.VAR.S(G19:G23)</f>
        <v>9.7029744397406148</v>
      </c>
      <c r="AQ38">
        <f>DEVSQ(G19:G23)</f>
        <v>38.81189775896253</v>
      </c>
      <c r="AR38">
        <f>SQRT(AO43/AM38)</f>
        <v>0.79699485306654916</v>
      </c>
      <c r="AS38">
        <f>AO38-AR38*_xlfn.T.INV.2T(AR31,AN43)</f>
        <v>5.8497652468055605</v>
      </c>
      <c r="AT38">
        <f>AO38+AR38*_xlfn.T.INV.2T(AR31,AN43)</f>
        <v>9.1395983085435404</v>
      </c>
      <c r="AV38" t="s">
        <v>167</v>
      </c>
      <c r="BE38" s="30"/>
    </row>
    <row r="39" spans="1:57" ht="15.75" thickTop="1" x14ac:dyDescent="0.25">
      <c r="A39" t="s">
        <v>102</v>
      </c>
      <c r="B39">
        <v>1</v>
      </c>
      <c r="C39">
        <v>1.306130284391861</v>
      </c>
      <c r="D39">
        <v>1.7118107149932229</v>
      </c>
      <c r="E39">
        <v>3.0861987464874603</v>
      </c>
      <c r="F39">
        <v>2.7922431972696256</v>
      </c>
      <c r="G39">
        <v>3.3159195396373051</v>
      </c>
      <c r="J39">
        <v>3.3925883387457776</v>
      </c>
      <c r="K39">
        <v>3.4180219076621134</v>
      </c>
      <c r="L39">
        <v>6.3746599020916834</v>
      </c>
      <c r="M39">
        <v>4.3234404865030305</v>
      </c>
      <c r="N39">
        <v>3.3159195396373051</v>
      </c>
      <c r="P39" s="29"/>
      <c r="Z39" t="str">
        <f>Z27</f>
        <v>5 ng/mL</v>
      </c>
      <c r="AA39" t="str">
        <f>Z29</f>
        <v>15 ng/mL</v>
      </c>
      <c r="AB39">
        <f>ABS(AA27-AA29)</f>
        <v>0.26964309749792736</v>
      </c>
      <c r="AC39">
        <f>SQRT(AC31/AD31/HARMEAN(AB27,AB29))</f>
        <v>0.40198273958321173</v>
      </c>
      <c r="AD39">
        <f t="shared" si="10"/>
        <v>0.6707827748462577</v>
      </c>
      <c r="AE39">
        <f t="shared" si="11"/>
        <v>-1.4315478564182247</v>
      </c>
      <c r="AF39">
        <f t="shared" si="12"/>
        <v>1.9708340514140794</v>
      </c>
      <c r="AG39">
        <f>[1]!QDIST(AD39,COUNT($AB$26:$AB$30),AD$31)</f>
        <v>0.98885729441780534</v>
      </c>
      <c r="AH39">
        <f t="shared" si="13"/>
        <v>1.701190953916152</v>
      </c>
      <c r="AI39" s="30">
        <f t="shared" si="14"/>
        <v>0.29998317653843365</v>
      </c>
      <c r="AL39" s="39"/>
      <c r="AM39" s="37"/>
      <c r="AN39" s="37"/>
      <c r="AO39" s="37"/>
      <c r="AP39" s="37"/>
      <c r="AQ39" s="37"/>
      <c r="AR39" s="37"/>
      <c r="AS39" s="37"/>
      <c r="AT39" s="37"/>
      <c r="AV39" s="36" t="s">
        <v>168</v>
      </c>
      <c r="AW39" s="36" t="s">
        <v>169</v>
      </c>
      <c r="AX39" s="36" t="s">
        <v>163</v>
      </c>
      <c r="AY39" s="36" t="s">
        <v>170</v>
      </c>
      <c r="AZ39" s="36" t="s">
        <v>171</v>
      </c>
      <c r="BA39" s="36" t="s">
        <v>172</v>
      </c>
      <c r="BB39" s="36" t="s">
        <v>173</v>
      </c>
      <c r="BC39" s="36" t="s">
        <v>174</v>
      </c>
      <c r="BD39" s="36" t="s">
        <v>175</v>
      </c>
      <c r="BE39" s="40" t="s">
        <v>176</v>
      </c>
    </row>
    <row r="40" spans="1:57" ht="15.75" thickBot="1" x14ac:dyDescent="0.3">
      <c r="P40" s="29"/>
      <c r="Z40" t="str">
        <f>Z27</f>
        <v>5 ng/mL</v>
      </c>
      <c r="AA40" t="str">
        <f>Z30</f>
        <v>20 ng/mL</v>
      </c>
      <c r="AB40">
        <f>ABS(AA27-AA30)</f>
        <v>0.45836067086455512</v>
      </c>
      <c r="AC40">
        <f>SQRT(AC31/AD31/HARMEAN(AB27,AB30))</f>
        <v>0.40198273958321173</v>
      </c>
      <c r="AD40">
        <f t="shared" si="10"/>
        <v>1.1402496319613071</v>
      </c>
      <c r="AE40">
        <f t="shared" si="11"/>
        <v>-1.2428302830515969</v>
      </c>
      <c r="AF40">
        <f t="shared" si="12"/>
        <v>2.1595516247807072</v>
      </c>
      <c r="AG40">
        <f>[1]!QDIST(AD40,COUNT($AB$26:$AB$30),AD$31)</f>
        <v>0.9256317424188818</v>
      </c>
      <c r="AH40">
        <f t="shared" si="13"/>
        <v>1.701190953916152</v>
      </c>
      <c r="AI40" s="30">
        <f t="shared" si="14"/>
        <v>0.50993513767691989</v>
      </c>
      <c r="AL40" s="29" t="s">
        <v>148</v>
      </c>
      <c r="AV40" s="37">
        <f>AV31</f>
        <v>0</v>
      </c>
      <c r="AW40" s="37">
        <f>AV32</f>
        <v>10</v>
      </c>
      <c r="AX40" s="37">
        <f>ABS(AW31-AW32)</f>
        <v>1.4170599570110811</v>
      </c>
      <c r="AY40" s="37">
        <f>SQRT(AY37/AZ37/HARMEAN(AX31,AX32))</f>
        <v>0.79699485306654916</v>
      </c>
      <c r="AZ40" s="37">
        <f>AX40/AY40</f>
        <v>1.7780038999734373</v>
      </c>
      <c r="BA40" s="37">
        <f t="shared" ref="BA40:BA54" si="15">AX40-AY40*BA$37</f>
        <v>-2.0681985354489387</v>
      </c>
      <c r="BB40" s="37">
        <f t="shared" ref="BB40:BB54" si="16">AX40+AY40*BA$37</f>
        <v>4.9023184494711014</v>
      </c>
      <c r="BC40" s="37">
        <f>[1]!QDIST(AZ40,COUNT($AX$31:$AX$36),AZ$37)</f>
        <v>0.80439075027740392</v>
      </c>
      <c r="BD40" s="37">
        <f t="shared" ref="BD40:BD54" si="17">AY40*BA$37</f>
        <v>3.4852584924600198</v>
      </c>
      <c r="BE40" s="41">
        <f t="shared" ref="BE40:BE54" si="18">AX40*SQRT(AZ$37/AY$37)</f>
        <v>0.79514751692006858</v>
      </c>
    </row>
    <row r="41" spans="1:57" ht="15.75" thickTop="1" x14ac:dyDescent="0.25">
      <c r="P41" s="29"/>
      <c r="Z41" s="34" t="str">
        <f>Z28</f>
        <v>10 ng/mL</v>
      </c>
      <c r="AA41" t="str">
        <f>Z29</f>
        <v>15 ng/mL</v>
      </c>
      <c r="AB41">
        <f>ABS(AA28-AA29)</f>
        <v>4.1451409358810558</v>
      </c>
      <c r="AC41">
        <f>SQRT(AC31/AD31/HARMEAN(AB28,AB29))</f>
        <v>0.40198273958321173</v>
      </c>
      <c r="AD41">
        <f t="shared" si="10"/>
        <v>10.311738608923527</v>
      </c>
      <c r="AE41">
        <f t="shared" si="11"/>
        <v>2.443949981964904</v>
      </c>
      <c r="AF41">
        <f t="shared" si="12"/>
        <v>5.8463318897972076</v>
      </c>
      <c r="AG41" s="34">
        <f>[1]!QDIST(AD41,COUNT($AB$26:$AB$30),AD$31)</f>
        <v>4.3240006929456953E-6</v>
      </c>
      <c r="AH41">
        <f t="shared" si="13"/>
        <v>1.701190953916152</v>
      </c>
      <c r="AI41" s="30">
        <f t="shared" si="14"/>
        <v>4.611549699152425</v>
      </c>
      <c r="AL41" s="38" t="s">
        <v>149</v>
      </c>
      <c r="AM41" s="36" t="s">
        <v>144</v>
      </c>
      <c r="AN41" s="36" t="s">
        <v>150</v>
      </c>
      <c r="AO41" s="36" t="s">
        <v>151</v>
      </c>
      <c r="AP41" s="36" t="s">
        <v>152</v>
      </c>
      <c r="AQ41" s="36" t="s">
        <v>153</v>
      </c>
      <c r="AR41" s="36" t="s">
        <v>154</v>
      </c>
      <c r="AS41" s="36" t="s">
        <v>155</v>
      </c>
      <c r="AT41" s="36" t="s">
        <v>156</v>
      </c>
      <c r="AV41">
        <f>AV31</f>
        <v>0</v>
      </c>
      <c r="AW41" s="34">
        <f>AV33</f>
        <v>20</v>
      </c>
      <c r="AX41">
        <f>ABS(AW31-AW33)</f>
        <v>4.6780208019615603</v>
      </c>
      <c r="AY41">
        <f>SQRT(AY37/AZ37/HARMEAN(AX31,AX33))</f>
        <v>0.79699485306654916</v>
      </c>
      <c r="AZ41">
        <f t="shared" ref="AZ41:AZ54" si="19">AX41/AY41</f>
        <v>5.8695746703535425</v>
      </c>
      <c r="BA41">
        <f t="shared" si="15"/>
        <v>1.1927623095015405</v>
      </c>
      <c r="BB41">
        <f t="shared" si="16"/>
        <v>8.1632792944215797</v>
      </c>
      <c r="BC41" s="34">
        <f>[1]!QDIST(AZ41,COUNT($AX$31:$AX$36),AZ$37)</f>
        <v>4.3075264546046377E-3</v>
      </c>
      <c r="BD41">
        <f t="shared" si="17"/>
        <v>3.4852584924600198</v>
      </c>
      <c r="BE41" s="30">
        <f t="shared" si="18"/>
        <v>2.6249535923842884</v>
      </c>
    </row>
    <row r="42" spans="1:57" x14ac:dyDescent="0.25">
      <c r="P42" s="29"/>
      <c r="Z42" s="34" t="str">
        <f>Z28</f>
        <v>10 ng/mL</v>
      </c>
      <c r="AA42" t="str">
        <f>Z30</f>
        <v>20 ng/mL</v>
      </c>
      <c r="AB42">
        <f>ABS(AA28-AA30)</f>
        <v>3.9564233625144274</v>
      </c>
      <c r="AC42">
        <f>SQRT(AC31/AD31/HARMEAN(AB28,AB30))</f>
        <v>0.40198273958321173</v>
      </c>
      <c r="AD42">
        <f t="shared" si="10"/>
        <v>9.8422717518084752</v>
      </c>
      <c r="AE42">
        <f t="shared" si="11"/>
        <v>2.2552324085982756</v>
      </c>
      <c r="AF42">
        <f t="shared" si="12"/>
        <v>5.6576143164305792</v>
      </c>
      <c r="AG42" s="34">
        <f>[1]!QDIST(AD42,COUNT($AB$26:$AB$30),AD$31)</f>
        <v>8.4913564737387759E-6</v>
      </c>
      <c r="AH42">
        <f t="shared" si="13"/>
        <v>1.701190953916152</v>
      </c>
      <c r="AI42" s="30">
        <f t="shared" si="14"/>
        <v>4.4015977380139377</v>
      </c>
      <c r="AL42" s="29" t="s">
        <v>157</v>
      </c>
      <c r="AM42">
        <f>AM44-AM43</f>
        <v>140.66605411054724</v>
      </c>
      <c r="AN42">
        <f>COUNTA(AL33:AL38)-1</f>
        <v>5</v>
      </c>
      <c r="AO42">
        <f>AM42/AN42</f>
        <v>28.133210822109447</v>
      </c>
      <c r="AP42">
        <f>AO42/AO43</f>
        <v>8.858052762995019</v>
      </c>
      <c r="AQ42">
        <f>_xlfn.F.DIST.RT(AP42,AN42,AN43)</f>
        <v>7.1527457268153485E-5</v>
      </c>
      <c r="AR42">
        <f>AM42/AM44</f>
        <v>0.64855897957832842</v>
      </c>
      <c r="AS42">
        <f>SQRT(DEVSQ(AO33:AO38)/(AO43*AN42))</f>
        <v>1.33101861467036</v>
      </c>
      <c r="AT42">
        <f>(AM44-AN44*AO43)/(AM44+AO43)</f>
        <v>0.56703873894738499</v>
      </c>
      <c r="AV42">
        <f>AV31</f>
        <v>0</v>
      </c>
      <c r="AW42">
        <f>AV34</f>
        <v>30</v>
      </c>
      <c r="AX42">
        <f>ABS(AW31-AW34)</f>
        <v>1.7028786198039136</v>
      </c>
      <c r="AY42">
        <f>SQRT(AY37/AZ37/HARMEAN(AX31,AX34))</f>
        <v>0.79699485306654916</v>
      </c>
      <c r="AZ42">
        <f t="shared" si="19"/>
        <v>2.1366243624433081</v>
      </c>
      <c r="BA42">
        <f t="shared" si="15"/>
        <v>-1.7823798726561062</v>
      </c>
      <c r="BB42">
        <f t="shared" si="16"/>
        <v>5.1881371122639335</v>
      </c>
      <c r="BC42">
        <f>[1]!QDIST(AZ42,COUNT($AX$31:$AX$36),AZ$37)</f>
        <v>0.66095863501762997</v>
      </c>
      <c r="BD42">
        <f t="shared" si="17"/>
        <v>3.4852584924600198</v>
      </c>
      <c r="BE42" s="30">
        <f t="shared" si="18"/>
        <v>0.95552746336107719</v>
      </c>
    </row>
    <row r="43" spans="1:57" ht="15.75" thickBot="1" x14ac:dyDescent="0.3">
      <c r="P43" s="31"/>
      <c r="Q43" s="32"/>
      <c r="R43" s="32"/>
      <c r="S43" s="32"/>
      <c r="T43" s="32"/>
      <c r="U43" s="32"/>
      <c r="V43" s="32"/>
      <c r="W43" s="32"/>
      <c r="X43" s="32"/>
      <c r="Y43" s="32"/>
      <c r="Z43" s="32" t="str">
        <f>Z29</f>
        <v>15 ng/mL</v>
      </c>
      <c r="AA43" s="32" t="str">
        <f>Z30</f>
        <v>20 ng/mL</v>
      </c>
      <c r="AB43" s="32">
        <f>ABS(AA29-AA30)</f>
        <v>0.18871757336662776</v>
      </c>
      <c r="AC43" s="32">
        <f>SQRT(AC31/AD31/HARMEAN(AB29,AB30))</f>
        <v>0.40198273958321173</v>
      </c>
      <c r="AD43" s="32">
        <f t="shared" si="10"/>
        <v>0.46946685711504937</v>
      </c>
      <c r="AE43" s="32">
        <f t="shared" si="11"/>
        <v>-1.5124733805495243</v>
      </c>
      <c r="AF43" s="32">
        <f t="shared" si="12"/>
        <v>1.8899085272827798</v>
      </c>
      <c r="AG43" s="32">
        <f>[1]!QDIST(AD43,COUNT($AB$26:$AB$30),AD$31)</f>
        <v>0.99715328052872798</v>
      </c>
      <c r="AH43" s="32">
        <f t="shared" si="13"/>
        <v>1.701190953916152</v>
      </c>
      <c r="AI43" s="33">
        <f t="shared" si="14"/>
        <v>0.20995196113848624</v>
      </c>
      <c r="AL43" s="29" t="s">
        <v>158</v>
      </c>
      <c r="AM43">
        <f>SUM(AQ33:AQ38)</f>
        <v>76.224095497748436</v>
      </c>
      <c r="AN43">
        <f>AN44-AN42</f>
        <v>24</v>
      </c>
      <c r="AO43">
        <f>AM43/AN43</f>
        <v>3.1760039790728514</v>
      </c>
      <c r="AV43">
        <f>AV31</f>
        <v>0</v>
      </c>
      <c r="AW43">
        <f>AV35</f>
        <v>60</v>
      </c>
      <c r="AX43">
        <f>ABS(AW31-AW35)</f>
        <v>2.9992600406283301</v>
      </c>
      <c r="AY43">
        <f>SQRT(AY37/AZ37/HARMEAN(AX31,AX35))</f>
        <v>0.79699485306654916</v>
      </c>
      <c r="AZ43">
        <f t="shared" si="19"/>
        <v>3.7632113044246869</v>
      </c>
      <c r="BA43">
        <f t="shared" si="15"/>
        <v>-0.48599845183168977</v>
      </c>
      <c r="BB43">
        <f t="shared" si="16"/>
        <v>6.4845185330883499</v>
      </c>
      <c r="BC43">
        <f>[1]!QDIST(AZ43,COUNT($AX$31:$AX$36),AZ$37)</f>
        <v>0.1209119823191761</v>
      </c>
      <c r="BD43">
        <f t="shared" si="17"/>
        <v>3.4852584924600198</v>
      </c>
      <c r="BE43" s="30">
        <f t="shared" si="18"/>
        <v>1.6829592580778512</v>
      </c>
    </row>
    <row r="44" spans="1:57" ht="15.75" thickBot="1" x14ac:dyDescent="0.3">
      <c r="AL44" s="42" t="s">
        <v>159</v>
      </c>
      <c r="AM44" s="23">
        <f>DEVSQ(B19:G23)</f>
        <v>216.89014960829567</v>
      </c>
      <c r="AN44" s="23">
        <f>COUNT(B19:G23)-1</f>
        <v>29</v>
      </c>
      <c r="AO44" s="23">
        <f>AM44/AN44</f>
        <v>7.4789706761481263</v>
      </c>
      <c r="AP44" s="23"/>
      <c r="AQ44" s="23"/>
      <c r="AR44" s="23"/>
      <c r="AS44" s="23"/>
      <c r="AT44" s="23"/>
      <c r="AV44">
        <f>AV31</f>
        <v>0</v>
      </c>
      <c r="AW44">
        <f>AV36</f>
        <v>90</v>
      </c>
      <c r="AX44">
        <f>ABS(AW31-AW36)</f>
        <v>6.4946817776745505</v>
      </c>
      <c r="AY44">
        <f>SQRT(AY37/AZ37/HARMEAN(AX31,AX36))</f>
        <v>0.79699485306654916</v>
      </c>
      <c r="AZ44">
        <f t="shared" si="19"/>
        <v>8.1489632620403434</v>
      </c>
      <c r="BA44">
        <f t="shared" si="15"/>
        <v>3.0094232852145306</v>
      </c>
      <c r="BB44">
        <f t="shared" si="16"/>
        <v>9.9799402701345699</v>
      </c>
      <c r="BC44">
        <f>[1]!QDIST(AZ44,COUNT($AX$31:$AX$36),AZ$37)</f>
        <v>8.151971913183953E-5</v>
      </c>
      <c r="BD44">
        <f t="shared" si="17"/>
        <v>3.4852584924600198</v>
      </c>
      <c r="BE44" s="30">
        <f t="shared" si="18"/>
        <v>3.6443271600141283</v>
      </c>
    </row>
    <row r="45" spans="1:57" ht="15.75" thickBot="1" x14ac:dyDescent="0.3">
      <c r="P45" s="26" t="s">
        <v>179</v>
      </c>
      <c r="Q45" s="27"/>
      <c r="R45" s="27"/>
      <c r="S45" s="27"/>
      <c r="T45" s="27"/>
      <c r="U45" s="27"/>
      <c r="V45" s="27"/>
      <c r="W45" s="27"/>
      <c r="X45" s="27"/>
      <c r="Y45" s="27"/>
      <c r="Z45" s="27" t="s">
        <v>160</v>
      </c>
      <c r="AA45" s="27"/>
      <c r="AB45" s="27"/>
      <c r="AC45" s="27" t="s">
        <v>161</v>
      </c>
      <c r="AD45" s="27">
        <v>0.05</v>
      </c>
      <c r="AE45" s="27"/>
      <c r="AF45" s="27"/>
      <c r="AG45" s="27"/>
      <c r="AH45" s="27"/>
      <c r="AI45" s="28"/>
      <c r="AL45" s="29"/>
      <c r="AV45">
        <f>AV32</f>
        <v>10</v>
      </c>
      <c r="AW45" s="34">
        <f>AV33</f>
        <v>20</v>
      </c>
      <c r="AX45">
        <f>ABS(AW32-AW33)</f>
        <v>3.2609608449504792</v>
      </c>
      <c r="AY45">
        <f>SQRT(AY37/AZ37/HARMEAN(AX32,AX33))</f>
        <v>0.79699485306654916</v>
      </c>
      <c r="AZ45">
        <f t="shared" si="19"/>
        <v>4.0915707703801054</v>
      </c>
      <c r="BA45">
        <f t="shared" si="15"/>
        <v>-0.22429764750954062</v>
      </c>
      <c r="BB45">
        <f t="shared" si="16"/>
        <v>6.7462193374104995</v>
      </c>
      <c r="BC45" s="34">
        <f>[1]!QDIST(AZ45,COUNT($AX$31:$AX$36),AZ$37)</f>
        <v>7.6021516603234085E-2</v>
      </c>
      <c r="BD45">
        <f t="shared" si="17"/>
        <v>3.4852584924600198</v>
      </c>
      <c r="BE45" s="30">
        <f t="shared" si="18"/>
        <v>1.8298060754642198</v>
      </c>
    </row>
    <row r="46" spans="1:57" ht="15.75" thickTop="1" x14ac:dyDescent="0.25">
      <c r="D46" s="43"/>
      <c r="E46" s="43"/>
      <c r="P46" s="29"/>
      <c r="Z46" s="36" t="s">
        <v>162</v>
      </c>
      <c r="AA46" s="36" t="s">
        <v>163</v>
      </c>
      <c r="AB46" s="36" t="s">
        <v>164</v>
      </c>
      <c r="AC46" s="36" t="s">
        <v>165</v>
      </c>
      <c r="AD46" s="36" t="s">
        <v>150</v>
      </c>
      <c r="AE46" s="36" t="s">
        <v>166</v>
      </c>
      <c r="AI46" s="30"/>
      <c r="AL46" s="29"/>
      <c r="AV46">
        <f>AV32</f>
        <v>10</v>
      </c>
      <c r="AW46">
        <f>AV34</f>
        <v>30</v>
      </c>
      <c r="AX46">
        <f>ABS(AW32-AW34)</f>
        <v>0.28581866279283252</v>
      </c>
      <c r="AY46">
        <f>SQRT(AY37/AZ37/HARMEAN(AX32,AX34))</f>
        <v>0.79699485306654916</v>
      </c>
      <c r="AZ46">
        <f t="shared" si="19"/>
        <v>0.35862046246987073</v>
      </c>
      <c r="BA46">
        <f t="shared" si="15"/>
        <v>-3.1994398296671873</v>
      </c>
      <c r="BB46">
        <f t="shared" si="16"/>
        <v>3.7710771552528524</v>
      </c>
      <c r="BC46">
        <f>[1]!QDIST(AZ46,COUNT($AX$31:$AX$36),AZ$37)</f>
        <v>0.99983688485927535</v>
      </c>
      <c r="BD46">
        <f t="shared" si="17"/>
        <v>3.4852584924600198</v>
      </c>
      <c r="BE46" s="30">
        <f t="shared" si="18"/>
        <v>0.16037994644100861</v>
      </c>
    </row>
    <row r="47" spans="1:57" ht="15.75" thickBot="1" x14ac:dyDescent="0.3">
      <c r="A47" s="43"/>
      <c r="B47" s="43"/>
      <c r="D47" s="43"/>
      <c r="E47" s="43"/>
      <c r="P47" s="29" t="s">
        <v>137</v>
      </c>
      <c r="U47" t="s">
        <v>138</v>
      </c>
      <c r="V47">
        <v>0.05</v>
      </c>
      <c r="Z47" t="str">
        <f>J18</f>
        <v>0 ng/mL</v>
      </c>
      <c r="AA47">
        <f>AVERAGE(J19:J23)</f>
        <v>1.2450460019517138</v>
      </c>
      <c r="AB47">
        <f>COUNT(J19:J23)</f>
        <v>5</v>
      </c>
      <c r="AC47">
        <f>DEVSQ(J19:J23)</f>
        <v>3.2338447617198227</v>
      </c>
      <c r="AI47" s="30"/>
      <c r="AL47" s="29"/>
      <c r="AV47">
        <f>AV32</f>
        <v>10</v>
      </c>
      <c r="AW47">
        <f>AV35</f>
        <v>60</v>
      </c>
      <c r="AX47">
        <f>ABS(AW32-AW35)</f>
        <v>1.582200083617249</v>
      </c>
      <c r="AY47">
        <f>SQRT(AY37/AZ37/HARMEAN(AX32,AX35))</f>
        <v>0.79699485306654916</v>
      </c>
      <c r="AZ47">
        <f t="shared" si="19"/>
        <v>1.9852074044512493</v>
      </c>
      <c r="BA47">
        <f t="shared" si="15"/>
        <v>-1.9030584088427709</v>
      </c>
      <c r="BB47">
        <f t="shared" si="16"/>
        <v>5.0674585760772688</v>
      </c>
      <c r="BC47">
        <f>[1]!QDIST(AZ47,COUNT($AX$31:$AX$36),AZ$37)</f>
        <v>0.72447488740472044</v>
      </c>
      <c r="BD47">
        <f t="shared" si="17"/>
        <v>3.4852584924600198</v>
      </c>
      <c r="BE47" s="30">
        <f t="shared" si="18"/>
        <v>0.8878117411577825</v>
      </c>
    </row>
    <row r="48" spans="1:57" ht="15.75" thickTop="1" x14ac:dyDescent="0.25">
      <c r="A48" s="43"/>
      <c r="B48" s="43"/>
      <c r="D48" s="43"/>
      <c r="E48" s="43"/>
      <c r="G48" s="43"/>
      <c r="H48" s="43"/>
      <c r="P48" s="38" t="s">
        <v>139</v>
      </c>
      <c r="Q48" s="36" t="s">
        <v>140</v>
      </c>
      <c r="R48" s="36" t="s">
        <v>141</v>
      </c>
      <c r="S48" s="36" t="s">
        <v>142</v>
      </c>
      <c r="T48" s="36" t="s">
        <v>143</v>
      </c>
      <c r="U48" s="36" t="s">
        <v>144</v>
      </c>
      <c r="V48" s="36" t="s">
        <v>145</v>
      </c>
      <c r="W48" s="36" t="s">
        <v>146</v>
      </c>
      <c r="X48" s="36" t="s">
        <v>147</v>
      </c>
      <c r="Z48" t="str">
        <f>K18</f>
        <v>5 ng/mL</v>
      </c>
      <c r="AA48">
        <f>AVERAGE(K19:K23)</f>
        <v>1.2711337934473392</v>
      </c>
      <c r="AB48">
        <f>COUNT(K19:K23)</f>
        <v>5</v>
      </c>
      <c r="AC48">
        <f>DEVSQ(K19:K23)</f>
        <v>0.73640355501672761</v>
      </c>
      <c r="AI48" s="30"/>
      <c r="AL48" s="29"/>
      <c r="AV48">
        <f>AV32</f>
        <v>10</v>
      </c>
      <c r="AW48">
        <f>AV36</f>
        <v>90</v>
      </c>
      <c r="AX48">
        <f>ABS(AW32-AW36)</f>
        <v>5.0776218206634693</v>
      </c>
      <c r="AY48">
        <f>SQRT(AY37/AZ37/HARMEAN(AX32,AX36))</f>
        <v>0.79699485306654916</v>
      </c>
      <c r="AZ48">
        <f t="shared" si="19"/>
        <v>6.3709593620669054</v>
      </c>
      <c r="BA48">
        <f t="shared" si="15"/>
        <v>1.5923633282034495</v>
      </c>
      <c r="BB48">
        <f t="shared" si="16"/>
        <v>8.5628803131234896</v>
      </c>
      <c r="BC48">
        <f>[1]!QDIST(AZ48,COUNT($AX$31:$AX$36),AZ$37)</f>
        <v>1.8099580830702733E-3</v>
      </c>
      <c r="BD48">
        <f t="shared" si="17"/>
        <v>3.4852584924600198</v>
      </c>
      <c r="BE48" s="30">
        <f t="shared" si="18"/>
        <v>2.8491796430940597</v>
      </c>
    </row>
    <row r="49" spans="1:57" x14ac:dyDescent="0.25">
      <c r="A49" s="35"/>
      <c r="D49" s="35"/>
      <c r="P49" s="29" t="str">
        <f>J18</f>
        <v>0 ng/mL</v>
      </c>
      <c r="Q49">
        <f>COUNT(J19:J23)</f>
        <v>5</v>
      </c>
      <c r="R49">
        <f>SUM(J19:J23)</f>
        <v>6.2252300097585689</v>
      </c>
      <c r="S49">
        <f>AVERAGE(J19:J23)</f>
        <v>1.2450460019517138</v>
      </c>
      <c r="T49">
        <f>_xlfn.VAR.S(J19:J23)</f>
        <v>0.80846119042995523</v>
      </c>
      <c r="U49">
        <f>DEVSQ(J19:J23)</f>
        <v>3.2338447617198227</v>
      </c>
      <c r="V49">
        <f>SQRT(S58/Q49)</f>
        <v>0.39685865270471515</v>
      </c>
      <c r="W49">
        <f>S49-V49*_xlfn.T.INV.2T(V47,R58)</f>
        <v>0.41721335867849951</v>
      </c>
      <c r="X49">
        <f>S49+V49*_xlfn.T.INV.2T(V47,R58)</f>
        <v>2.0728786452249279</v>
      </c>
      <c r="Z49" t="str">
        <f>L18</f>
        <v>10 ng/mL</v>
      </c>
      <c r="AA49">
        <f>AVERAGE(L19:L23)</f>
        <v>2.7028786198039136</v>
      </c>
      <c r="AB49">
        <f>COUNT(L19:L23)</f>
        <v>5</v>
      </c>
      <c r="AC49">
        <f>DEVSQ(L19:L23)</f>
        <v>8.0709985921817999</v>
      </c>
      <c r="AI49" s="30"/>
      <c r="AL49" s="29"/>
      <c r="AV49" s="34">
        <f>AV33</f>
        <v>20</v>
      </c>
      <c r="AW49">
        <f>AV34</f>
        <v>30</v>
      </c>
      <c r="AX49">
        <f>ABS(AW33-AW34)</f>
        <v>2.9751421821576467</v>
      </c>
      <c r="AY49">
        <f>SQRT(AY37/AZ37/HARMEAN(AX33,AX34))</f>
        <v>0.79699485306654916</v>
      </c>
      <c r="AZ49">
        <f t="shared" si="19"/>
        <v>3.7329503079102344</v>
      </c>
      <c r="BA49">
        <f t="shared" si="15"/>
        <v>-0.51011631030237314</v>
      </c>
      <c r="BB49">
        <f t="shared" si="16"/>
        <v>6.4604006746176665</v>
      </c>
      <c r="BC49" s="34">
        <f>[1]!QDIST(AZ49,COUNT($AX$31:$AX$36),AZ$37)</f>
        <v>0.12599897723372155</v>
      </c>
      <c r="BD49">
        <f t="shared" si="17"/>
        <v>3.4852584924600198</v>
      </c>
      <c r="BE49" s="30">
        <f t="shared" si="18"/>
        <v>1.6694261290232111</v>
      </c>
    </row>
    <row r="50" spans="1:57" x14ac:dyDescent="0.25">
      <c r="A50" s="35"/>
      <c r="B50" s="44"/>
      <c r="C50" s="44"/>
      <c r="D50" s="35"/>
      <c r="M50" s="43"/>
      <c r="N50" s="43"/>
      <c r="P50" s="29" t="str">
        <f>K18</f>
        <v>5 ng/mL</v>
      </c>
      <c r="Q50">
        <f>COUNT(K19:K23)</f>
        <v>5</v>
      </c>
      <c r="R50">
        <f>SUM(K19:K23)</f>
        <v>6.3556689672366966</v>
      </c>
      <c r="S50">
        <f>AVERAGE(K19:K23)</f>
        <v>1.2711337934473392</v>
      </c>
      <c r="T50">
        <f>_xlfn.VAR.S(K19:K23)</f>
        <v>0.18410088875418218</v>
      </c>
      <c r="U50">
        <f>DEVSQ(K19:K23)</f>
        <v>0.73640355501672761</v>
      </c>
      <c r="V50">
        <f>SQRT(S58/Q50)</f>
        <v>0.39685865270471515</v>
      </c>
      <c r="W50">
        <f>S50-V50*_xlfn.T.INV.2T(V47,R58)</f>
        <v>0.44330115017412497</v>
      </c>
      <c r="X50">
        <f>S50+V50*_xlfn.T.INV.2T(V47,R58)</f>
        <v>2.0989664367205534</v>
      </c>
      <c r="Z50" t="str">
        <f>M18</f>
        <v>15 ng/mL</v>
      </c>
      <c r="AA50">
        <f>AVERAGE(M19:M23)</f>
        <v>1.8057000358604403</v>
      </c>
      <c r="AB50">
        <f>COUNT(M19:M23)</f>
        <v>5</v>
      </c>
      <c r="AC50">
        <f>DEVSQ(M19:M23)</f>
        <v>0.20105834986380783</v>
      </c>
      <c r="AI50" s="30"/>
      <c r="AL50" s="29"/>
      <c r="AV50" s="34">
        <f>AV33</f>
        <v>20</v>
      </c>
      <c r="AW50">
        <f>AV35</f>
        <v>60</v>
      </c>
      <c r="AX50">
        <f>ABS(AW33-AW35)</f>
        <v>1.6787607613332303</v>
      </c>
      <c r="AY50">
        <f>SQRT(AY37/AZ37/HARMEAN(AX33,AX35))</f>
        <v>0.79699485306654916</v>
      </c>
      <c r="AZ50">
        <f t="shared" si="19"/>
        <v>2.1063633659288556</v>
      </c>
      <c r="BA50">
        <f t="shared" si="15"/>
        <v>-1.8064977311267896</v>
      </c>
      <c r="BB50">
        <f t="shared" si="16"/>
        <v>5.1640192537932501</v>
      </c>
      <c r="BC50" s="34">
        <f>[1]!QDIST(AZ50,COUNT($AX$31:$AX$36),AZ$37)</f>
        <v>0.67388494153210754</v>
      </c>
      <c r="BD50">
        <f t="shared" si="17"/>
        <v>3.4852584924600198</v>
      </c>
      <c r="BE50" s="30">
        <f t="shared" si="18"/>
        <v>0.9419943343064372</v>
      </c>
    </row>
    <row r="51" spans="1:57" x14ac:dyDescent="0.25">
      <c r="A51" s="35"/>
      <c r="B51" s="44"/>
      <c r="C51" s="44"/>
      <c r="D51" s="35"/>
      <c r="M51" s="35"/>
      <c r="P51" s="29" t="str">
        <f>L18</f>
        <v>10 ng/mL</v>
      </c>
      <c r="Q51">
        <f>COUNT(L19:L23)</f>
        <v>5</v>
      </c>
      <c r="R51">
        <f>SUM(L19:L23)</f>
        <v>13.514393099019568</v>
      </c>
      <c r="S51">
        <f>AVERAGE(L19:L23)</f>
        <v>2.7028786198039136</v>
      </c>
      <c r="T51">
        <f>_xlfn.VAR.S(L19:L23)</f>
        <v>2.0177496480454469</v>
      </c>
      <c r="U51">
        <f>DEVSQ(L19:L23)</f>
        <v>8.0709985921817999</v>
      </c>
      <c r="V51">
        <f>SQRT(S58/Q51)</f>
        <v>0.39685865270471515</v>
      </c>
      <c r="W51">
        <f>S51-V51*_xlfn.T.INV.2T(V47,R58)</f>
        <v>1.8750459765306995</v>
      </c>
      <c r="X51">
        <f>S51+V51*_xlfn.T.INV.2T(V47,R58)</f>
        <v>3.5307112630771278</v>
      </c>
      <c r="Z51" t="str">
        <f>N18</f>
        <v>20 ng/mL</v>
      </c>
      <c r="AA51">
        <f>AVERAGE(N19:N23)</f>
        <v>2.632205566754855</v>
      </c>
      <c r="AB51">
        <f>COUNT(N19:N23)</f>
        <v>5</v>
      </c>
      <c r="AC51">
        <f>DEVSQ(N19:N23)</f>
        <v>3.5073737638780189</v>
      </c>
      <c r="AI51" s="30"/>
      <c r="AL51" s="29"/>
      <c r="AV51" s="34">
        <f>AV33</f>
        <v>20</v>
      </c>
      <c r="AW51">
        <f>AV36</f>
        <v>90</v>
      </c>
      <c r="AX51">
        <f>ABS(AW33-AW36)</f>
        <v>1.8166609757129901</v>
      </c>
      <c r="AY51">
        <f>SQRT(AY37/AZ37/HARMEAN(AX33,AX36))</f>
        <v>0.79699485306654916</v>
      </c>
      <c r="AZ51">
        <f t="shared" si="19"/>
        <v>2.2793885916868009</v>
      </c>
      <c r="BA51">
        <f t="shared" si="15"/>
        <v>-1.6685975167470297</v>
      </c>
      <c r="BB51">
        <f t="shared" si="16"/>
        <v>5.3019194681730095</v>
      </c>
      <c r="BC51" s="34">
        <f>[1]!QDIST(AZ51,COUNT($AX$31:$AX$36),AZ$37)</f>
        <v>0.59910793793251349</v>
      </c>
      <c r="BD51">
        <f t="shared" si="17"/>
        <v>3.4852584924600198</v>
      </c>
      <c r="BE51" s="30">
        <f t="shared" si="18"/>
        <v>1.0193735676298397</v>
      </c>
    </row>
    <row r="52" spans="1:57" x14ac:dyDescent="0.25">
      <c r="A52" s="35"/>
      <c r="B52" s="44"/>
      <c r="C52" s="44"/>
      <c r="D52" s="35"/>
      <c r="F52" t="str">
        <f>IF(COUNTIF(E52,"&gt;="&amp;$E$44)+COUNTIF(E52,"&lt;=-"&amp;$E$44)&gt;0,"*","")</f>
        <v/>
      </c>
      <c r="H52" s="44"/>
      <c r="M52" s="35"/>
      <c r="P52" s="29" t="str">
        <f>M18</f>
        <v>15 ng/mL</v>
      </c>
      <c r="Q52">
        <f>COUNT(M19:M23)</f>
        <v>5</v>
      </c>
      <c r="R52">
        <f>SUM(M19:M23)</f>
        <v>9.0285001793022008</v>
      </c>
      <c r="S52">
        <f>AVERAGE(M19:M23)</f>
        <v>1.8057000358604403</v>
      </c>
      <c r="T52">
        <f>_xlfn.VAR.S(M19:M23)</f>
        <v>5.0264587465951749E-2</v>
      </c>
      <c r="U52">
        <f>DEVSQ(M19:M23)</f>
        <v>0.20105834986380783</v>
      </c>
      <c r="V52">
        <f>SQRT(S58/Q52)</f>
        <v>0.39685865270471515</v>
      </c>
      <c r="W52">
        <f>S52-V52*_xlfn.T.INV.2T(V47,R58)</f>
        <v>0.97786739258722599</v>
      </c>
      <c r="X52">
        <f>S52+V52*_xlfn.T.INV.2T(V47,R58)</f>
        <v>2.6335326791336544</v>
      </c>
      <c r="Z52" s="37"/>
      <c r="AA52" s="37"/>
      <c r="AB52" s="37">
        <f>SUM(AB47:AB51)</f>
        <v>25</v>
      </c>
      <c r="AC52" s="37">
        <f>SUM(AC47:AC51)</f>
        <v>15.749679022660175</v>
      </c>
      <c r="AD52" s="37">
        <f>AB52-COUNT(AB47:AB51)</f>
        <v>20</v>
      </c>
      <c r="AE52" s="37">
        <f>[1]!QCRIT(COUNT(AB47:AB51),AD52,AD45,2)</f>
        <v>4.2320000000000002</v>
      </c>
      <c r="AI52" s="30"/>
      <c r="AL52" s="29"/>
      <c r="AV52">
        <f>AV34</f>
        <v>30</v>
      </c>
      <c r="AW52">
        <f>AV35</f>
        <v>60</v>
      </c>
      <c r="AX52">
        <f>ABS(AW34-AW35)</f>
        <v>1.2963814208244164</v>
      </c>
      <c r="AY52">
        <f>SQRT(AY37/AZ37/HARMEAN(AX34,AX35))</f>
        <v>0.79699485306654916</v>
      </c>
      <c r="AZ52">
        <f t="shared" si="19"/>
        <v>1.6265869419813788</v>
      </c>
      <c r="BA52">
        <f t="shared" si="15"/>
        <v>-2.1888770716356034</v>
      </c>
      <c r="BB52">
        <f t="shared" si="16"/>
        <v>4.7816399132844367</v>
      </c>
      <c r="BC52">
        <f>[1]!QDIST(AZ52,COUNT($AX$31:$AX$36),AZ$37)</f>
        <v>0.85531702318761893</v>
      </c>
      <c r="BD52">
        <f t="shared" si="17"/>
        <v>3.4852584924600198</v>
      </c>
      <c r="BE52" s="30">
        <f t="shared" si="18"/>
        <v>0.72743179471677388</v>
      </c>
    </row>
    <row r="53" spans="1:57" ht="15.75" thickBot="1" x14ac:dyDescent="0.3">
      <c r="A53" s="35"/>
      <c r="D53" s="35"/>
      <c r="F53" t="str">
        <f>IF(COUNTIF(E53,"&gt;="&amp;$E$45)+COUNTIF(E53,"&lt;=-"&amp;$E$45)&gt;0,"*","")</f>
        <v/>
      </c>
      <c r="M53" s="35"/>
      <c r="P53" s="29" t="str">
        <f>N18</f>
        <v>20 ng/mL</v>
      </c>
      <c r="Q53">
        <f>COUNT(N19:N23)</f>
        <v>5</v>
      </c>
      <c r="R53">
        <f>SUM(N19:N23)</f>
        <v>13.161027833774275</v>
      </c>
      <c r="S53">
        <f>AVERAGE(N19:N23)</f>
        <v>2.632205566754855</v>
      </c>
      <c r="T53">
        <f>_xlfn.VAR.S(N19:N23)</f>
        <v>0.87684344096950362</v>
      </c>
      <c r="U53">
        <f>DEVSQ(N19:N23)</f>
        <v>3.5073737638780189</v>
      </c>
      <c r="V53">
        <f>SQRT(S58/Q53)</f>
        <v>0.39685865270471515</v>
      </c>
      <c r="W53">
        <f>S53-V53*_xlfn.T.INV.2T(V47,R58)</f>
        <v>1.8043729234816408</v>
      </c>
      <c r="X53">
        <f>S53+V53*_xlfn.T.INV.2T(V47,R58)</f>
        <v>3.4600382100280691</v>
      </c>
      <c r="Z53" t="s">
        <v>167</v>
      </c>
      <c r="AI53" s="30"/>
      <c r="AL53" s="29"/>
      <c r="AV53">
        <f>AV34</f>
        <v>30</v>
      </c>
      <c r="AW53">
        <f>AV36</f>
        <v>90</v>
      </c>
      <c r="AX53">
        <f>ABS(AW34-AW36)</f>
        <v>4.7918031578706373</v>
      </c>
      <c r="AY53">
        <f>SQRT(AY37/AZ37/HARMEAN(AX34,AX36))</f>
        <v>0.79699485306654916</v>
      </c>
      <c r="AZ53">
        <f t="shared" si="19"/>
        <v>6.0123388995970357</v>
      </c>
      <c r="BA53">
        <f t="shared" si="15"/>
        <v>1.3065446654106174</v>
      </c>
      <c r="BB53">
        <f t="shared" si="16"/>
        <v>8.2770616503306567</v>
      </c>
      <c r="BC53">
        <f>[1]!QDIST(AZ53,COUNT($AX$31:$AX$36),AZ$37)</f>
        <v>3.3693640834927541E-3</v>
      </c>
      <c r="BD53">
        <f t="shared" si="17"/>
        <v>3.4852584924600198</v>
      </c>
      <c r="BE53" s="30">
        <f t="shared" si="18"/>
        <v>2.6887996966530512</v>
      </c>
    </row>
    <row r="54" spans="1:57" ht="16.5" thickTop="1" thickBot="1" x14ac:dyDescent="0.3">
      <c r="A54" s="35"/>
      <c r="D54" s="35"/>
      <c r="F54" t="str">
        <f t="shared" ref="F54:F57" si="20">IF(COUNTIF(E54,"&gt;="&amp;$E$45)+COUNTIF(E54,"&lt;=-"&amp;$E$45)&gt;0,"*","")</f>
        <v/>
      </c>
      <c r="K54" s="44"/>
      <c r="L54" s="44"/>
      <c r="M54" s="35"/>
      <c r="P54" s="39"/>
      <c r="Q54" s="37"/>
      <c r="R54" s="37"/>
      <c r="S54" s="37"/>
      <c r="T54" s="37"/>
      <c r="U54" s="37"/>
      <c r="V54" s="37"/>
      <c r="W54" s="37"/>
      <c r="X54" s="37"/>
      <c r="Z54" s="36" t="s">
        <v>168</v>
      </c>
      <c r="AA54" s="36" t="s">
        <v>169</v>
      </c>
      <c r="AB54" s="36" t="s">
        <v>163</v>
      </c>
      <c r="AC54" s="36" t="s">
        <v>170</v>
      </c>
      <c r="AD54" s="36" t="s">
        <v>171</v>
      </c>
      <c r="AE54" s="36" t="s">
        <v>172</v>
      </c>
      <c r="AF54" s="36" t="s">
        <v>173</v>
      </c>
      <c r="AG54" s="36" t="s">
        <v>174</v>
      </c>
      <c r="AH54" s="36" t="s">
        <v>175</v>
      </c>
      <c r="AI54" s="40" t="s">
        <v>176</v>
      </c>
      <c r="AL54" s="31"/>
      <c r="AM54" s="32"/>
      <c r="AN54" s="32"/>
      <c r="AO54" s="32"/>
      <c r="AP54" s="32"/>
      <c r="AQ54" s="32"/>
      <c r="AR54" s="32"/>
      <c r="AS54" s="32"/>
      <c r="AT54" s="32"/>
      <c r="AU54" s="32"/>
      <c r="AV54" s="32">
        <f>AV35</f>
        <v>60</v>
      </c>
      <c r="AW54" s="32">
        <f>AV36</f>
        <v>90</v>
      </c>
      <c r="AX54" s="32">
        <f>ABS(AW35-AW36)</f>
        <v>3.4954217370462204</v>
      </c>
      <c r="AY54" s="32">
        <f>SQRT(AY37/AZ37/HARMEAN(AX35,AX36))</f>
        <v>0.79699485306654916</v>
      </c>
      <c r="AZ54" s="32">
        <f t="shared" si="19"/>
        <v>4.3857519576156561</v>
      </c>
      <c r="BA54" s="32">
        <f t="shared" si="15"/>
        <v>1.0163244586200548E-2</v>
      </c>
      <c r="BB54" s="32">
        <f t="shared" si="16"/>
        <v>6.9806802295062402</v>
      </c>
      <c r="BC54" s="32">
        <f>[1]!QDIST(AZ54,COUNT($AX$31:$AX$36),AZ$37)</f>
        <v>4.9011842321318833E-2</v>
      </c>
      <c r="BD54" s="32">
        <f t="shared" si="17"/>
        <v>3.4852584924600198</v>
      </c>
      <c r="BE54" s="33">
        <f t="shared" si="18"/>
        <v>1.9613679019362771</v>
      </c>
    </row>
    <row r="55" spans="1:57" ht="15.75" thickBot="1" x14ac:dyDescent="0.3">
      <c r="A55" s="35"/>
      <c r="D55" s="35"/>
      <c r="F55" t="str">
        <f t="shared" si="20"/>
        <v/>
      </c>
      <c r="M55" s="35"/>
      <c r="P55" s="29" t="s">
        <v>148</v>
      </c>
      <c r="Z55" s="37" t="str">
        <f>Z47</f>
        <v>0 ng/mL</v>
      </c>
      <c r="AA55" s="37" t="str">
        <f>Z48</f>
        <v>5 ng/mL</v>
      </c>
      <c r="AB55" s="37">
        <f>ABS(AA47-AA48)</f>
        <v>2.6087791495625456E-2</v>
      </c>
      <c r="AC55" s="37">
        <f>SQRT(AC52/AD52/HARMEAN(AB47,AB48))</f>
        <v>0.39685865270471515</v>
      </c>
      <c r="AD55" s="37">
        <f>AB55/AC55</f>
        <v>6.5735725598595474E-2</v>
      </c>
      <c r="AE55" s="37">
        <f>AB55-AC55*AE$52</f>
        <v>-1.6534180267507292</v>
      </c>
      <c r="AF55" s="37">
        <f>AB55+AC55*AE$52</f>
        <v>1.7055936097419802</v>
      </c>
      <c r="AG55" s="37">
        <f>[1]!QDIST(AD55,COUNT($AB$47:$AB$51),AD$52)</f>
        <v>0.99999883802065348</v>
      </c>
      <c r="AH55" s="37">
        <f>AC55*AE$52</f>
        <v>1.6795058182463547</v>
      </c>
      <c r="AI55" s="41">
        <f>AB55*SQRT(AD$52/AC$52)</f>
        <v>2.9397910197746506E-2</v>
      </c>
    </row>
    <row r="56" spans="1:57" ht="16.5" thickTop="1" thickBot="1" x14ac:dyDescent="0.3">
      <c r="A56" s="35"/>
      <c r="D56" s="35"/>
      <c r="F56" t="str">
        <f t="shared" si="20"/>
        <v/>
      </c>
      <c r="M56" s="35"/>
      <c r="O56" t="str">
        <f>IF(COUNTIF(N56,"&gt;="&amp;$N$48)+COUNTIF(N56,"&lt;=-"&amp;$N$48)&gt;0,"*","")</f>
        <v/>
      </c>
      <c r="P56" s="38" t="s">
        <v>149</v>
      </c>
      <c r="Q56" s="36" t="s">
        <v>144</v>
      </c>
      <c r="R56" s="36" t="s">
        <v>150</v>
      </c>
      <c r="S56" s="36" t="s">
        <v>151</v>
      </c>
      <c r="T56" s="36" t="s">
        <v>152</v>
      </c>
      <c r="U56" s="36" t="s">
        <v>153</v>
      </c>
      <c r="V56" s="36" t="s">
        <v>154</v>
      </c>
      <c r="W56" s="36" t="s">
        <v>155</v>
      </c>
      <c r="X56" s="36" t="s">
        <v>156</v>
      </c>
      <c r="Z56" t="str">
        <f>Z47</f>
        <v>0 ng/mL</v>
      </c>
      <c r="AA56" s="34" t="str">
        <f>Z49</f>
        <v>10 ng/mL</v>
      </c>
      <c r="AB56">
        <f>ABS(AA47-AA49)</f>
        <v>1.4578326178521999</v>
      </c>
      <c r="AC56">
        <f>SQRT(AC52/AD52/HARMEAN(AB47,AB49))</f>
        <v>0.39685865270471515</v>
      </c>
      <c r="AD56">
        <f t="shared" ref="AD56:AD64" si="21">AB56/AC56</f>
        <v>3.6734303458337552</v>
      </c>
      <c r="AE56">
        <f t="shared" ref="AE56:AE64" si="22">AB56-AC56*AE$52</f>
        <v>-0.22167320039415483</v>
      </c>
      <c r="AF56">
        <f t="shared" ref="AF56:AF64" si="23">AB56+AC56*AE$52</f>
        <v>3.1373384360985543</v>
      </c>
      <c r="AG56" s="34">
        <f>[1]!QDIST(AD56,COUNT($AB$47:$AB$51),AD$52)</f>
        <v>0.10879252238094994</v>
      </c>
      <c r="AH56">
        <f t="shared" ref="AH56:AH64" si="24">AC56*AE$52</f>
        <v>1.6795058182463547</v>
      </c>
      <c r="AI56" s="30">
        <f t="shared" ref="AI56:AI64" si="25">AB56*SQRT(AD$52/AC$52)</f>
        <v>1.6428079927789674</v>
      </c>
      <c r="AL56" s="26" t="s">
        <v>185</v>
      </c>
      <c r="AM56" s="27"/>
      <c r="AN56" s="27"/>
      <c r="AO56" s="27"/>
      <c r="AP56" s="27"/>
      <c r="AQ56" s="27"/>
      <c r="AR56" s="27"/>
      <c r="AS56" s="27"/>
      <c r="AT56" s="27"/>
      <c r="AU56" s="27"/>
      <c r="AV56" s="27" t="s">
        <v>160</v>
      </c>
      <c r="AW56" s="27"/>
      <c r="AX56" s="27"/>
      <c r="AY56" s="27" t="s">
        <v>161</v>
      </c>
      <c r="AZ56" s="27">
        <v>0.05</v>
      </c>
      <c r="BA56" s="27"/>
      <c r="BB56" s="27"/>
      <c r="BC56" s="27"/>
      <c r="BD56" s="27"/>
      <c r="BE56" s="28"/>
    </row>
    <row r="57" spans="1:57" ht="15.75" thickTop="1" x14ac:dyDescent="0.25">
      <c r="A57" s="35"/>
      <c r="D57" s="35"/>
      <c r="F57" t="str">
        <f t="shared" si="20"/>
        <v/>
      </c>
      <c r="M57" s="35"/>
      <c r="O57" t="str">
        <f t="shared" ref="O57:O60" si="26">IF(COUNTIF(N57,"&gt;="&amp;$N$48)+COUNTIF(N57,"&lt;=-"&amp;$N$48)&gt;0,"*","")</f>
        <v/>
      </c>
      <c r="P57" s="29" t="s">
        <v>157</v>
      </c>
      <c r="Q57">
        <f>Q59-Q58</f>
        <v>10.045707290435985</v>
      </c>
      <c r="R57">
        <f>COUNTA(P49:P53)-1</f>
        <v>4</v>
      </c>
      <c r="S57">
        <f>Q57/R57</f>
        <v>2.5114268226089962</v>
      </c>
      <c r="T57">
        <f>S57/S58</f>
        <v>3.1891784194403319</v>
      </c>
      <c r="U57">
        <f>_xlfn.F.DIST.RT(T57,R57,R58)</f>
        <v>3.5236642522496392E-2</v>
      </c>
      <c r="V57">
        <f>Q57/Q59</f>
        <v>0.38943814093359169</v>
      </c>
      <c r="W57">
        <f>SQRT(DEVSQ(S49:S53)/(S58*R57))</f>
        <v>0.79864615687303353</v>
      </c>
      <c r="X57">
        <f>(Q59-R59*S58)/(Q59+S58)</f>
        <v>0.25940658090571728</v>
      </c>
      <c r="Z57" t="str">
        <f>Z47</f>
        <v>0 ng/mL</v>
      </c>
      <c r="AA57" t="str">
        <f>Z50</f>
        <v>15 ng/mL</v>
      </c>
      <c r="AB57">
        <f>ABS(AA47-AA50)</f>
        <v>0.56065403390872648</v>
      </c>
      <c r="AC57">
        <f>SQRT(AC52/AD52/HARMEAN(AB47,AB50))</f>
        <v>0.39685865270471515</v>
      </c>
      <c r="AD57">
        <f t="shared" si="21"/>
        <v>1.4127297718915661</v>
      </c>
      <c r="AE57">
        <f t="shared" si="22"/>
        <v>-1.1188517843376282</v>
      </c>
      <c r="AF57">
        <f t="shared" si="23"/>
        <v>2.240159852155081</v>
      </c>
      <c r="AG57">
        <f>[1]!QDIST(AD57,COUNT($AB$47:$AB$51),AD$52)</f>
        <v>0.85272952062892138</v>
      </c>
      <c r="AH57">
        <f t="shared" si="24"/>
        <v>1.6795058182463547</v>
      </c>
      <c r="AI57" s="30">
        <f t="shared" si="25"/>
        <v>0.63179196075746269</v>
      </c>
      <c r="AL57" s="29"/>
      <c r="AV57" s="36" t="s">
        <v>162</v>
      </c>
      <c r="AW57" s="36" t="s">
        <v>163</v>
      </c>
      <c r="AX57" s="36" t="s">
        <v>164</v>
      </c>
      <c r="AY57" s="36" t="s">
        <v>165</v>
      </c>
      <c r="AZ57" s="36" t="s">
        <v>150</v>
      </c>
      <c r="BA57" s="36" t="s">
        <v>166</v>
      </c>
      <c r="BE57" s="30"/>
    </row>
    <row r="58" spans="1:57" ht="15.75" thickBot="1" x14ac:dyDescent="0.3">
      <c r="D58" s="35"/>
      <c r="M58" s="35"/>
      <c r="O58" t="str">
        <f t="shared" si="26"/>
        <v/>
      </c>
      <c r="P58" s="29" t="s">
        <v>158</v>
      </c>
      <c r="Q58">
        <f>SUM(U49:U53)</f>
        <v>15.749679022660175</v>
      </c>
      <c r="R58">
        <f>R59-R57</f>
        <v>20</v>
      </c>
      <c r="S58">
        <f>Q58/R58</f>
        <v>0.78748395113300873</v>
      </c>
      <c r="Z58" t="str">
        <f>Z47</f>
        <v>0 ng/mL</v>
      </c>
      <c r="AA58" t="str">
        <f>Z51</f>
        <v>20 ng/mL</v>
      </c>
      <c r="AB58">
        <f>ABS(AA47-AA51)</f>
        <v>1.3871595648031412</v>
      </c>
      <c r="AC58">
        <f>SQRT(AC52/AD52/HARMEAN(AB47,AB51))</f>
        <v>0.39685865270471515</v>
      </c>
      <c r="AD58">
        <f t="shared" si="21"/>
        <v>3.4953491762097597</v>
      </c>
      <c r="AE58">
        <f t="shared" si="22"/>
        <v>-0.29234625344321352</v>
      </c>
      <c r="AF58">
        <f t="shared" si="23"/>
        <v>3.0666653830494957</v>
      </c>
      <c r="AG58">
        <f>[1]!QDIST(AD58,COUNT($AB$47:$AB$51),AD$52)</f>
        <v>0.13732034330175935</v>
      </c>
      <c r="AH58">
        <f t="shared" si="24"/>
        <v>1.6795058182463547</v>
      </c>
      <c r="AI58" s="30">
        <f t="shared" si="25"/>
        <v>1.5631676726205825</v>
      </c>
      <c r="AL58" s="29" t="s">
        <v>137</v>
      </c>
      <c r="AQ58" t="s">
        <v>138</v>
      </c>
      <c r="AR58">
        <v>0.05</v>
      </c>
      <c r="AV58">
        <f>B26</f>
        <v>0</v>
      </c>
      <c r="AW58">
        <f>AVERAGE(B27:B31)</f>
        <v>1</v>
      </c>
      <c r="AX58">
        <f>COUNT(B27:B31)</f>
        <v>5</v>
      </c>
      <c r="AY58">
        <f>DEVSQ(B27:B31)</f>
        <v>0</v>
      </c>
      <c r="BE58" s="30"/>
    </row>
    <row r="59" spans="1:57" ht="15.75" thickTop="1" x14ac:dyDescent="0.25">
      <c r="H59" s="44"/>
      <c r="M59" s="35"/>
      <c r="O59" t="str">
        <f t="shared" si="26"/>
        <v/>
      </c>
      <c r="P59" s="42" t="s">
        <v>159</v>
      </c>
      <c r="Q59" s="23">
        <f>DEVSQ(J19:N23)</f>
        <v>25.795386313096159</v>
      </c>
      <c r="R59" s="23">
        <f>COUNT(J19:N23)-1</f>
        <v>24</v>
      </c>
      <c r="S59" s="23">
        <f>Q59/R59</f>
        <v>1.0748077630456734</v>
      </c>
      <c r="T59" s="23"/>
      <c r="U59" s="23"/>
      <c r="V59" s="23"/>
      <c r="W59" s="23"/>
      <c r="X59" s="23"/>
      <c r="Z59" t="str">
        <f>Z48</f>
        <v>5 ng/mL</v>
      </c>
      <c r="AA59" s="34" t="str">
        <f>Z49</f>
        <v>10 ng/mL</v>
      </c>
      <c r="AB59">
        <f>ABS(AA48-AA49)</f>
        <v>1.4317448263565744</v>
      </c>
      <c r="AC59">
        <f>SQRT(AC52/AD52/HARMEAN(AB48,AB49))</f>
        <v>0.39685865270471515</v>
      </c>
      <c r="AD59">
        <f t="shared" si="21"/>
        <v>3.6076946202351596</v>
      </c>
      <c r="AE59">
        <f t="shared" si="22"/>
        <v>-0.24776099188978029</v>
      </c>
      <c r="AF59">
        <f t="shared" si="23"/>
        <v>3.1112506446029293</v>
      </c>
      <c r="AG59" s="34">
        <f>[1]!QDIST(AD59,COUNT($AB$47:$AB$51),AD$52)</f>
        <v>0.11867215884863724</v>
      </c>
      <c r="AH59">
        <f t="shared" si="24"/>
        <v>1.6795058182463547</v>
      </c>
      <c r="AI59" s="30">
        <f t="shared" si="25"/>
        <v>1.613410082581221</v>
      </c>
      <c r="AL59" s="38" t="s">
        <v>139</v>
      </c>
      <c r="AM59" s="36" t="s">
        <v>140</v>
      </c>
      <c r="AN59" s="36" t="s">
        <v>141</v>
      </c>
      <c r="AO59" s="36" t="s">
        <v>142</v>
      </c>
      <c r="AP59" s="36" t="s">
        <v>143</v>
      </c>
      <c r="AQ59" s="36" t="s">
        <v>144</v>
      </c>
      <c r="AR59" s="36" t="s">
        <v>145</v>
      </c>
      <c r="AS59" s="36" t="s">
        <v>146</v>
      </c>
      <c r="AT59" s="36" t="s">
        <v>147</v>
      </c>
      <c r="AV59">
        <f>C26</f>
        <v>10</v>
      </c>
      <c r="AW59">
        <f>AVERAGE(C27:C31)</f>
        <v>1.5099367752995696</v>
      </c>
      <c r="AX59">
        <f>COUNT(C27:C31)</f>
        <v>5</v>
      </c>
      <c r="AY59">
        <f>DEVSQ(C27:C31)</f>
        <v>1.9336716169483608</v>
      </c>
      <c r="BE59" s="30"/>
    </row>
    <row r="60" spans="1:57" x14ac:dyDescent="0.25">
      <c r="M60" s="35"/>
      <c r="O60" t="str">
        <f t="shared" si="26"/>
        <v/>
      </c>
      <c r="P60" s="29"/>
      <c r="Z60" t="str">
        <f>Z48</f>
        <v>5 ng/mL</v>
      </c>
      <c r="AA60" t="str">
        <f>Z50</f>
        <v>15 ng/mL</v>
      </c>
      <c r="AB60">
        <f>ABS(AA48-AA50)</f>
        <v>0.53456624241310102</v>
      </c>
      <c r="AC60">
        <f>SQRT(AC52/AD52/HARMEAN(AB48,AB50))</f>
        <v>0.39685865270471515</v>
      </c>
      <c r="AD60">
        <f t="shared" si="21"/>
        <v>1.3469940462929706</v>
      </c>
      <c r="AE60">
        <f t="shared" si="22"/>
        <v>-1.1449395758332537</v>
      </c>
      <c r="AF60">
        <f t="shared" si="23"/>
        <v>2.2140720606594559</v>
      </c>
      <c r="AG60">
        <f>[1]!QDIST(AD60,COUNT($AB$47:$AB$51),AD$52)</f>
        <v>0.87273898103952774</v>
      </c>
      <c r="AH60">
        <f t="shared" si="24"/>
        <v>1.6795058182463547</v>
      </c>
      <c r="AI60" s="30">
        <f t="shared" si="25"/>
        <v>0.60239405055971618</v>
      </c>
      <c r="AL60" s="29">
        <f>B26</f>
        <v>0</v>
      </c>
      <c r="AM60">
        <f>COUNT(B27:B31)</f>
        <v>5</v>
      </c>
      <c r="AN60">
        <f>SUM(B27:B31)</f>
        <v>5</v>
      </c>
      <c r="AO60">
        <f>AVERAGE(B27:B31)</f>
        <v>1</v>
      </c>
      <c r="AP60">
        <f>_xlfn.VAR.S(B27:B31)</f>
        <v>0</v>
      </c>
      <c r="AQ60">
        <f>DEVSQ(B27:B31)</f>
        <v>0</v>
      </c>
      <c r="AR60">
        <f>SQRT(AO70/AM60)</f>
        <v>0.55712127212849649</v>
      </c>
      <c r="AS60">
        <f>AO60-AR60*_xlfn.T.INV.2T(AR58,AN70)</f>
        <v>-0.14984179219837968</v>
      </c>
      <c r="AT60">
        <f>AO60+AR60*_xlfn.T.INV.2T(AR58,AN70)</f>
        <v>2.1498417921983797</v>
      </c>
      <c r="AV60">
        <f>D26</f>
        <v>20</v>
      </c>
      <c r="AW60">
        <f>AVERAGE(D27:D31)</f>
        <v>1.532879866080505</v>
      </c>
      <c r="AX60">
        <f>COUNT(D27:D31)</f>
        <v>5</v>
      </c>
      <c r="AY60">
        <f>DEVSQ(D27:D31)</f>
        <v>0.51211640309440287</v>
      </c>
      <c r="BE60" s="30"/>
    </row>
    <row r="61" spans="1:57" x14ac:dyDescent="0.25">
      <c r="P61" s="29"/>
      <c r="Z61" t="str">
        <f>Z48</f>
        <v>5 ng/mL</v>
      </c>
      <c r="AA61" t="str">
        <f>Z51</f>
        <v>20 ng/mL</v>
      </c>
      <c r="AB61">
        <f>ABS(AA48-AA51)</f>
        <v>1.3610717733075157</v>
      </c>
      <c r="AC61">
        <f>SQRT(AC52/AD52/HARMEAN(AB48,AB51))</f>
        <v>0.39685865270471515</v>
      </c>
      <c r="AD61">
        <f t="shared" si="21"/>
        <v>3.4296134506111642</v>
      </c>
      <c r="AE61">
        <f t="shared" si="22"/>
        <v>-0.31843404493883898</v>
      </c>
      <c r="AF61">
        <f t="shared" si="23"/>
        <v>3.0405775915538706</v>
      </c>
      <c r="AG61">
        <f>[1]!QDIST(AD61,COUNT($AB$47:$AB$51),AD$52)</f>
        <v>0.1493239998975372</v>
      </c>
      <c r="AH61">
        <f t="shared" si="24"/>
        <v>1.6795058182463547</v>
      </c>
      <c r="AI61" s="30">
        <f t="shared" si="25"/>
        <v>1.5337697624228359</v>
      </c>
      <c r="AL61" s="29">
        <f>C26</f>
        <v>10</v>
      </c>
      <c r="AM61">
        <f>COUNT(C27:C31)</f>
        <v>5</v>
      </c>
      <c r="AN61">
        <f>SUM(C27:C31)</f>
        <v>7.5496838764978484</v>
      </c>
      <c r="AO61">
        <f>AVERAGE(C27:C31)</f>
        <v>1.5099367752995696</v>
      </c>
      <c r="AP61">
        <f>_xlfn.VAR.S(C27:C31)</f>
        <v>0.4834179042370903</v>
      </c>
      <c r="AQ61">
        <f>DEVSQ(C27:C31)</f>
        <v>1.9336716169483608</v>
      </c>
      <c r="AR61">
        <f>SQRT(AO70/AM61)</f>
        <v>0.55712127212849649</v>
      </c>
      <c r="AS61">
        <f>AO61-AR61*_xlfn.T.INV.2T(AR58,AN70)</f>
        <v>0.36009498310118992</v>
      </c>
      <c r="AT61">
        <f>AO61+AR61*_xlfn.T.INV.2T(AR58,AN70)</f>
        <v>2.6597785674979493</v>
      </c>
      <c r="AV61">
        <f>E26</f>
        <v>30</v>
      </c>
      <c r="AW61">
        <f>AVERAGE(E27:E31)</f>
        <v>1.8057000358604403</v>
      </c>
      <c r="AX61">
        <f>COUNT(E27:E31)</f>
        <v>5</v>
      </c>
      <c r="AY61">
        <f>DEVSQ(E27:E31)</f>
        <v>0.20105834986380783</v>
      </c>
      <c r="BE61" s="30"/>
    </row>
    <row r="62" spans="1:57" x14ac:dyDescent="0.25">
      <c r="P62" s="29"/>
      <c r="Z62" s="34" t="str">
        <f>Z49</f>
        <v>10 ng/mL</v>
      </c>
      <c r="AA62" t="str">
        <f>Z50</f>
        <v>15 ng/mL</v>
      </c>
      <c r="AB62">
        <f>ABS(AA49-AA50)</f>
        <v>0.89717858394347338</v>
      </c>
      <c r="AC62">
        <f>SQRT(AC52/AD52/HARMEAN(AB49,AB50))</f>
        <v>0.39685865270471515</v>
      </c>
      <c r="AD62">
        <f t="shared" si="21"/>
        <v>2.2607005739421888</v>
      </c>
      <c r="AE62">
        <f t="shared" si="22"/>
        <v>-0.78232723430288131</v>
      </c>
      <c r="AF62">
        <f t="shared" si="23"/>
        <v>2.5766844021898283</v>
      </c>
      <c r="AG62" s="34">
        <f>[1]!QDIST(AD62,COUNT($AB$47:$AB$51),AD$52)</f>
        <v>0.51509718244934599</v>
      </c>
      <c r="AH62">
        <f t="shared" si="24"/>
        <v>1.6795058182463547</v>
      </c>
      <c r="AI62" s="30">
        <f t="shared" si="25"/>
        <v>1.0110160320215047</v>
      </c>
      <c r="AL62" s="29">
        <f>D26</f>
        <v>20</v>
      </c>
      <c r="AM62">
        <f>COUNT(D27:D31)</f>
        <v>5</v>
      </c>
      <c r="AN62">
        <f>SUM(D27:D31)</f>
        <v>7.6643993304025253</v>
      </c>
      <c r="AO62">
        <f>AVERAGE(D27:D31)</f>
        <v>1.532879866080505</v>
      </c>
      <c r="AP62">
        <f>_xlfn.VAR.S(D27:D31)</f>
        <v>0.1280291007736003</v>
      </c>
      <c r="AQ62">
        <f>DEVSQ(D27:D31)</f>
        <v>0.51211640309440287</v>
      </c>
      <c r="AR62">
        <f>SQRT(AO70/AM62)</f>
        <v>0.55712127212849649</v>
      </c>
      <c r="AS62">
        <f>AO62-AR62*_xlfn.T.INV.2T(AR58,AN70)</f>
        <v>0.3830380738821253</v>
      </c>
      <c r="AT62">
        <f>AO62+AR62*_xlfn.T.INV.2T(AR58,AN70)</f>
        <v>2.6827216582788846</v>
      </c>
      <c r="AV62">
        <f>F26</f>
        <v>60</v>
      </c>
      <c r="AW62">
        <f>AVERAGE(F27:F31)</f>
        <v>2.6672659358723352</v>
      </c>
      <c r="AX62">
        <f>COUNT(F27:F31)</f>
        <v>5</v>
      </c>
      <c r="AY62">
        <f>DEVSQ(F27:F31)</f>
        <v>3.9719361347144893</v>
      </c>
      <c r="BE62" s="30"/>
    </row>
    <row r="63" spans="1:57" x14ac:dyDescent="0.25">
      <c r="P63" s="29"/>
      <c r="Z63" s="34" t="str">
        <f>Z49</f>
        <v>10 ng/mL</v>
      </c>
      <c r="AA63" t="str">
        <f>Z51</f>
        <v>20 ng/mL</v>
      </c>
      <c r="AB63">
        <f>ABS(AA49-AA51)</f>
        <v>7.0673053049058687E-2</v>
      </c>
      <c r="AC63">
        <f>SQRT(AC52/AD52/HARMEAN(AB49,AB51))</f>
        <v>0.39685865270471515</v>
      </c>
      <c r="AD63">
        <f t="shared" si="21"/>
        <v>0.17808116962399548</v>
      </c>
      <c r="AE63">
        <f t="shared" si="22"/>
        <v>-1.608832765197296</v>
      </c>
      <c r="AF63">
        <f t="shared" si="23"/>
        <v>1.7501788712954134</v>
      </c>
      <c r="AG63" s="34">
        <f>[1]!QDIST(AD63,COUNT($AB$47:$AB$51),AD$52)</f>
        <v>0.99993789337663919</v>
      </c>
      <c r="AH63">
        <f t="shared" si="24"/>
        <v>1.6795058182463547</v>
      </c>
      <c r="AI63" s="30">
        <f t="shared" si="25"/>
        <v>7.9640320158384903E-2</v>
      </c>
      <c r="AL63" s="29">
        <f>E26</f>
        <v>30</v>
      </c>
      <c r="AM63">
        <f>COUNT(E27:E31)</f>
        <v>5</v>
      </c>
      <c r="AN63">
        <f>SUM(E27:E31)</f>
        <v>9.0285001793022008</v>
      </c>
      <c r="AO63">
        <f>AVERAGE(E27:E31)</f>
        <v>1.8057000358604403</v>
      </c>
      <c r="AP63">
        <f>_xlfn.VAR.S(E27:E31)</f>
        <v>5.0264587465951749E-2</v>
      </c>
      <c r="AQ63">
        <f>DEVSQ(E27:E31)</f>
        <v>0.20105834986380783</v>
      </c>
      <c r="AR63">
        <f>SQRT(AO70/AM63)</f>
        <v>0.55712127212849649</v>
      </c>
      <c r="AS63">
        <f>AO63-AR63*_xlfn.T.INV.2T(AR58,AN70)</f>
        <v>0.65585824366206058</v>
      </c>
      <c r="AT63">
        <f>AO63+AR63*_xlfn.T.INV.2T(AR58,AN70)</f>
        <v>2.9555418280588199</v>
      </c>
      <c r="AV63">
        <f>G26</f>
        <v>90</v>
      </c>
      <c r="AW63">
        <f>AVERAGE(G27:G31)</f>
        <v>4.9583023728954192</v>
      </c>
      <c r="AX63">
        <f>COUNT(G27:G31)</f>
        <v>5</v>
      </c>
      <c r="AY63">
        <f>DEVSQ(G27:G31)</f>
        <v>30.627310918347856</v>
      </c>
      <c r="BE63" s="30"/>
    </row>
    <row r="64" spans="1:57" ht="15.75" thickBot="1" x14ac:dyDescent="0.3">
      <c r="P64" s="31"/>
      <c r="Q64" s="32"/>
      <c r="R64" s="32"/>
      <c r="S64" s="32"/>
      <c r="T64" s="32"/>
      <c r="U64" s="32"/>
      <c r="V64" s="32"/>
      <c r="W64" s="32"/>
      <c r="X64" s="32"/>
      <c r="Y64" s="32"/>
      <c r="Z64" s="32" t="str">
        <f>Z50</f>
        <v>15 ng/mL</v>
      </c>
      <c r="AA64" s="32" t="str">
        <f>Z51</f>
        <v>20 ng/mL</v>
      </c>
      <c r="AB64" s="32">
        <f>ABS(AA50-AA51)</f>
        <v>0.8265055308944147</v>
      </c>
      <c r="AC64" s="32">
        <f>SQRT(AC52/AD52/HARMEAN(AB50,AB51))</f>
        <v>0.39685865270471515</v>
      </c>
      <c r="AD64" s="32">
        <f t="shared" si="21"/>
        <v>2.0826194043181934</v>
      </c>
      <c r="AE64" s="32">
        <f t="shared" si="22"/>
        <v>-0.85300028735194</v>
      </c>
      <c r="AF64" s="32">
        <f t="shared" si="23"/>
        <v>2.5060113491407696</v>
      </c>
      <c r="AG64" s="32">
        <f>[1]!QDIST(AD64,COUNT($AB$47:$AB$51),AD$52)</f>
        <v>0.59073140922210987</v>
      </c>
      <c r="AH64" s="32">
        <f t="shared" si="24"/>
        <v>1.6795058182463547</v>
      </c>
      <c r="AI64" s="33">
        <f t="shared" si="25"/>
        <v>0.93137571186311985</v>
      </c>
      <c r="AL64" s="29">
        <f>F26</f>
        <v>60</v>
      </c>
      <c r="AM64">
        <f>COUNT(F27:F31)</f>
        <v>5</v>
      </c>
      <c r="AN64">
        <f>SUM(F27:F31)</f>
        <v>13.336329679361675</v>
      </c>
      <c r="AO64">
        <f>AVERAGE(F27:F31)</f>
        <v>2.6672659358723352</v>
      </c>
      <c r="AP64">
        <f>_xlfn.VAR.S(F27:F31)</f>
        <v>0.99298403367862065</v>
      </c>
      <c r="AQ64">
        <f>DEVSQ(F27:F31)</f>
        <v>3.9719361347144893</v>
      </c>
      <c r="AR64">
        <f>SQRT(AO70/AM64)</f>
        <v>0.55712127212849649</v>
      </c>
      <c r="AS64">
        <f>AO64-AR64*_xlfn.T.INV.2T(AR58,AN70)</f>
        <v>1.5174241436739555</v>
      </c>
      <c r="AT64">
        <f>AO64+AR64*_xlfn.T.INV.2T(AR58,AN70)</f>
        <v>3.8171077280707149</v>
      </c>
      <c r="AV64" s="37"/>
      <c r="AW64" s="37"/>
      <c r="AX64" s="37">
        <f>SUM(AX58:AX63)</f>
        <v>30</v>
      </c>
      <c r="AY64" s="37">
        <f>SUM(AY58:AY63)</f>
        <v>37.246093422968919</v>
      </c>
      <c r="AZ64" s="37">
        <f>AX64-COUNT(AX58:AX63)</f>
        <v>24</v>
      </c>
      <c r="BA64" s="37">
        <f>[1]!QCRIT(COUNT(AX58:AX63),AZ64,AZ56,2)</f>
        <v>4.3730000000000002</v>
      </c>
      <c r="BE64" s="30"/>
    </row>
    <row r="65" spans="16:57" ht="15.75" thickBot="1" x14ac:dyDescent="0.3">
      <c r="AL65" s="29">
        <f>G26</f>
        <v>90</v>
      </c>
      <c r="AM65">
        <f>COUNT(G27:G31)</f>
        <v>5</v>
      </c>
      <c r="AN65">
        <f>SUM(G27:G31)</f>
        <v>24.791511864477098</v>
      </c>
      <c r="AO65">
        <f>AVERAGE(G27:G31)</f>
        <v>4.9583023728954192</v>
      </c>
      <c r="AP65">
        <f>_xlfn.VAR.S(G27:G31)</f>
        <v>7.6568277295869649</v>
      </c>
      <c r="AQ65">
        <f>DEVSQ(G27:G31)</f>
        <v>30.627310918347856</v>
      </c>
      <c r="AR65">
        <f>SQRT(AO70/AM65)</f>
        <v>0.55712127212849649</v>
      </c>
      <c r="AS65">
        <f>AO65-AR65*_xlfn.T.INV.2T(AR58,AN70)</f>
        <v>3.8084605806970395</v>
      </c>
      <c r="AT65">
        <f>AO65+AR65*_xlfn.T.INV.2T(AR58,AN70)</f>
        <v>6.1081441650937993</v>
      </c>
      <c r="AV65" t="s">
        <v>167</v>
      </c>
      <c r="BE65" s="30"/>
    </row>
    <row r="66" spans="16:57" ht="16.5" thickTop="1" thickBot="1" x14ac:dyDescent="0.3">
      <c r="P66" s="26" t="s">
        <v>180</v>
      </c>
      <c r="Q66" s="27"/>
      <c r="R66" s="27"/>
      <c r="S66" s="27"/>
      <c r="T66" s="27"/>
      <c r="U66" s="27"/>
      <c r="V66" s="27"/>
      <c r="W66" s="27"/>
      <c r="X66" s="27"/>
      <c r="Y66" s="27"/>
      <c r="Z66" s="27" t="s">
        <v>160</v>
      </c>
      <c r="AA66" s="27"/>
      <c r="AB66" s="27"/>
      <c r="AC66" s="27" t="s">
        <v>161</v>
      </c>
      <c r="AD66" s="27">
        <v>0.05</v>
      </c>
      <c r="AE66" s="27"/>
      <c r="AF66" s="27"/>
      <c r="AG66" s="27"/>
      <c r="AH66" s="27"/>
      <c r="AI66" s="28"/>
      <c r="AL66" s="39"/>
      <c r="AM66" s="37"/>
      <c r="AN66" s="37"/>
      <c r="AO66" s="37"/>
      <c r="AP66" s="37"/>
      <c r="AQ66" s="37"/>
      <c r="AR66" s="37"/>
      <c r="AS66" s="37"/>
      <c r="AT66" s="37"/>
      <c r="AV66" s="36" t="s">
        <v>168</v>
      </c>
      <c r="AW66" s="36" t="s">
        <v>169</v>
      </c>
      <c r="AX66" s="36" t="s">
        <v>163</v>
      </c>
      <c r="AY66" s="36" t="s">
        <v>170</v>
      </c>
      <c r="AZ66" s="36" t="s">
        <v>171</v>
      </c>
      <c r="BA66" s="36" t="s">
        <v>172</v>
      </c>
      <c r="BB66" s="36" t="s">
        <v>173</v>
      </c>
      <c r="BC66" s="36" t="s">
        <v>174</v>
      </c>
      <c r="BD66" s="36" t="s">
        <v>175</v>
      </c>
      <c r="BE66" s="40" t="s">
        <v>176</v>
      </c>
    </row>
    <row r="67" spans="16:57" ht="16.5" thickTop="1" thickBot="1" x14ac:dyDescent="0.3">
      <c r="P67" s="29"/>
      <c r="Z67" s="36" t="s">
        <v>162</v>
      </c>
      <c r="AA67" s="36" t="s">
        <v>163</v>
      </c>
      <c r="AB67" s="36" t="s">
        <v>164</v>
      </c>
      <c r="AC67" s="36" t="s">
        <v>165</v>
      </c>
      <c r="AD67" s="36" t="s">
        <v>150</v>
      </c>
      <c r="AE67" s="36" t="s">
        <v>166</v>
      </c>
      <c r="AI67" s="30"/>
      <c r="AL67" s="29" t="s">
        <v>148</v>
      </c>
      <c r="AV67" s="37">
        <f>AV58</f>
        <v>0</v>
      </c>
      <c r="AW67" s="37">
        <f>AV59</f>
        <v>10</v>
      </c>
      <c r="AX67" s="37">
        <f>ABS(AW58-AW59)</f>
        <v>0.5099367752995696</v>
      </c>
      <c r="AY67" s="37">
        <f>SQRT(AY64/AZ64/HARMEAN(AX58,AX59))</f>
        <v>0.55712127212849649</v>
      </c>
      <c r="AZ67" s="37">
        <f>AX67/AY67</f>
        <v>0.9153065962664515</v>
      </c>
      <c r="BA67" s="37">
        <f>AX67-AY67*BA$64</f>
        <v>-1.9263545477183457</v>
      </c>
      <c r="BB67" s="37">
        <f>AX67+AY67*BA$64</f>
        <v>2.9462280983174849</v>
      </c>
      <c r="BC67" s="37">
        <f>[1]!QDIST(AZ67,COUNT($AX$58:$AX$63),AZ$64)</f>
        <v>0.98596959437018872</v>
      </c>
      <c r="BD67" s="37">
        <f>AY67*BA$64</f>
        <v>2.4362913230179153</v>
      </c>
      <c r="BE67" s="41">
        <f>AX67*SQRT(AZ$64/AY$64)</f>
        <v>0.40933755390114807</v>
      </c>
    </row>
    <row r="68" spans="16:57" ht="16.5" thickTop="1" thickBot="1" x14ac:dyDescent="0.3">
      <c r="P68" s="29" t="s">
        <v>137</v>
      </c>
      <c r="U68" t="s">
        <v>138</v>
      </c>
      <c r="V68">
        <v>0.05</v>
      </c>
      <c r="Z68" t="str">
        <f>J26</f>
        <v>0 ng/mL</v>
      </c>
      <c r="AA68">
        <f>AVERAGE(J27:J31)</f>
        <v>1.8553948563802778</v>
      </c>
      <c r="AB68">
        <f>COUNT(J27:J31)</f>
        <v>5</v>
      </c>
      <c r="AC68">
        <f>DEVSQ(J27:J31)</f>
        <v>4.8749360379338729</v>
      </c>
      <c r="AI68" s="30"/>
      <c r="AL68" s="38" t="s">
        <v>149</v>
      </c>
      <c r="AM68" s="36" t="s">
        <v>144</v>
      </c>
      <c r="AN68" s="36" t="s">
        <v>150</v>
      </c>
      <c r="AO68" s="36" t="s">
        <v>151</v>
      </c>
      <c r="AP68" s="36" t="s">
        <v>152</v>
      </c>
      <c r="AQ68" s="36" t="s">
        <v>153</v>
      </c>
      <c r="AR68" s="36" t="s">
        <v>154</v>
      </c>
      <c r="AS68" s="36" t="s">
        <v>155</v>
      </c>
      <c r="AT68" s="36" t="s">
        <v>156</v>
      </c>
      <c r="AV68">
        <f>AV58</f>
        <v>0</v>
      </c>
      <c r="AW68" s="34">
        <f>AV60</f>
        <v>20</v>
      </c>
      <c r="AX68">
        <f>ABS(AW58-AW60)</f>
        <v>0.53287986608050497</v>
      </c>
      <c r="AY68">
        <f>SQRT(AY64/AZ64/HARMEAN(AX58,AX60))</f>
        <v>0.55712127212849649</v>
      </c>
      <c r="AZ68">
        <f t="shared" ref="AZ68:AZ81" si="27">AX68/AY68</f>
        <v>0.95648809826381864</v>
      </c>
      <c r="BA68">
        <f t="shared" ref="BA68:BA81" si="28">AX68-AY68*BA$64</f>
        <v>-1.9034114569374103</v>
      </c>
      <c r="BB68">
        <f t="shared" ref="BB68:BB81" si="29">AX68+AY68*BA$64</f>
        <v>2.9691711890984203</v>
      </c>
      <c r="BC68" s="34">
        <f>[1]!QDIST(AZ68,COUNT($AX$58:$AX$63),AZ$64)</f>
        <v>0.98293768561179296</v>
      </c>
      <c r="BD68">
        <f t="shared" ref="BD68:BD81" si="30">AY68*BA$64</f>
        <v>2.4362913230179153</v>
      </c>
      <c r="BE68" s="30">
        <f t="shared" ref="BE68:BE81" si="31">AX68*SQRT(AZ$64/AY$64)</f>
        <v>0.4277544814774793</v>
      </c>
    </row>
    <row r="69" spans="16:57" ht="15.75" thickTop="1" x14ac:dyDescent="0.25">
      <c r="P69" s="38" t="s">
        <v>139</v>
      </c>
      <c r="Q69" s="36" t="s">
        <v>140</v>
      </c>
      <c r="R69" s="36" t="s">
        <v>141</v>
      </c>
      <c r="S69" s="36" t="s">
        <v>142</v>
      </c>
      <c r="T69" s="36" t="s">
        <v>143</v>
      </c>
      <c r="U69" s="36" t="s">
        <v>144</v>
      </c>
      <c r="V69" s="36" t="s">
        <v>145</v>
      </c>
      <c r="W69" s="36" t="s">
        <v>146</v>
      </c>
      <c r="X69" s="36" t="s">
        <v>147</v>
      </c>
      <c r="Z69" t="str">
        <f>K26</f>
        <v>5 ng/mL</v>
      </c>
      <c r="AA69">
        <f>AVERAGE(K27:K31)</f>
        <v>2.6388006444038838</v>
      </c>
      <c r="AB69">
        <f>COUNT(K27:K31)</f>
        <v>5</v>
      </c>
      <c r="AC69">
        <f>DEVSQ(K27:K31)</f>
        <v>4.0876007902557028</v>
      </c>
      <c r="AI69" s="30"/>
      <c r="AL69" s="29" t="s">
        <v>157</v>
      </c>
      <c r="AM69">
        <f>AM71-AM70</f>
        <v>51.653789970532365</v>
      </c>
      <c r="AN69">
        <f>COUNTA(AL60:AL65)-1</f>
        <v>5</v>
      </c>
      <c r="AO69">
        <f>AM69/AN69</f>
        <v>10.330757994106474</v>
      </c>
      <c r="AP69">
        <f>AO69/AO70</f>
        <v>6.6567569662394952</v>
      </c>
      <c r="AQ69">
        <f>_xlfn.F.DIST.RT(AP69,AN69,AN70)</f>
        <v>5.0991532467823059E-4</v>
      </c>
      <c r="AR69">
        <f>AM69/AM71</f>
        <v>0.58103327022258322</v>
      </c>
      <c r="AS69">
        <f>SQRT(DEVSQ(AO60:AO65)/(AO70*AN69))</f>
        <v>1.1538420139897396</v>
      </c>
      <c r="AT69">
        <f>(AM71-AN71*AO70)/(AM71+AO70)</f>
        <v>0.48527707857534425</v>
      </c>
      <c r="AV69">
        <f>AV58</f>
        <v>0</v>
      </c>
      <c r="AW69">
        <f>AV61</f>
        <v>30</v>
      </c>
      <c r="AX69">
        <f>ABS(AW58-AW61)</f>
        <v>0.80570003586044026</v>
      </c>
      <c r="AY69">
        <f>SQRT(AY64/AZ64/HARMEAN(AX58,AX61))</f>
        <v>0.55712127212849649</v>
      </c>
      <c r="AZ69">
        <f t="shared" si="27"/>
        <v>1.4461842980474289</v>
      </c>
      <c r="BA69">
        <f t="shared" si="28"/>
        <v>-1.630591287157475</v>
      </c>
      <c r="BB69">
        <f t="shared" si="29"/>
        <v>3.2419913588783555</v>
      </c>
      <c r="BC69">
        <f>[1]!QDIST(AZ69,COUNT($AX$58:$AX$63),AZ$64)</f>
        <v>0.90572204414916724</v>
      </c>
      <c r="BD69">
        <f t="shared" si="30"/>
        <v>2.4362913230179153</v>
      </c>
      <c r="BE69" s="30">
        <f t="shared" si="31"/>
        <v>0.64675327968537333</v>
      </c>
    </row>
    <row r="70" spans="16:57" x14ac:dyDescent="0.25">
      <c r="P70" s="29" t="str">
        <f>J26</f>
        <v>0 ng/mL</v>
      </c>
      <c r="Q70">
        <f>COUNT(J27:J31)</f>
        <v>5</v>
      </c>
      <c r="R70">
        <f>SUM(J27:J31)</f>
        <v>9.2769742819013885</v>
      </c>
      <c r="S70">
        <f>AVERAGE(J27:J31)</f>
        <v>1.8553948563802778</v>
      </c>
      <c r="T70">
        <f>_xlfn.VAR.S(J27:J31)</f>
        <v>1.2187340094834669</v>
      </c>
      <c r="U70">
        <f>DEVSQ(J27:J31)</f>
        <v>4.8749360379338729</v>
      </c>
      <c r="V70">
        <f>SQRT(S79/Q70)</f>
        <v>0.46168286934695202</v>
      </c>
      <c r="W70">
        <f>S70-V70*_xlfn.T.INV.2T(V68,R79)</f>
        <v>0.89234126669371394</v>
      </c>
      <c r="X70">
        <f>S70+V70*_xlfn.T.INV.2T(V68,R79)</f>
        <v>2.8184484460668418</v>
      </c>
      <c r="Z70" t="str">
        <f>L26</f>
        <v>10 ng/mL</v>
      </c>
      <c r="AA70">
        <f>AVERAGE(L27:L31)</f>
        <v>3.9992600406283301</v>
      </c>
      <c r="AB70">
        <f>COUNT(L27:L31)</f>
        <v>5</v>
      </c>
      <c r="AC70">
        <f>DEVSQ(L27:L31)</f>
        <v>7.5504298395977356</v>
      </c>
      <c r="AI70" s="30"/>
      <c r="AL70" s="29" t="s">
        <v>158</v>
      </c>
      <c r="AM70">
        <f>SUM(AQ60:AQ65)</f>
        <v>37.246093422968919</v>
      </c>
      <c r="AN70">
        <f>AN71-AN69</f>
        <v>24</v>
      </c>
      <c r="AO70">
        <f>AM70/AN70</f>
        <v>1.5519205592903715</v>
      </c>
      <c r="AV70">
        <f>AV58</f>
        <v>0</v>
      </c>
      <c r="AW70">
        <f>AV62</f>
        <v>60</v>
      </c>
      <c r="AX70">
        <f>ABS(AW58-AW62)</f>
        <v>1.6672659358723352</v>
      </c>
      <c r="AY70">
        <f>SQRT(AY64/AZ64/HARMEAN(AX58,AX62))</f>
        <v>0.55712127212849649</v>
      </c>
      <c r="AZ70">
        <f t="shared" si="27"/>
        <v>2.9926445448806898</v>
      </c>
      <c r="BA70">
        <f t="shared" si="28"/>
        <v>-0.76902538714558011</v>
      </c>
      <c r="BB70">
        <f t="shared" si="29"/>
        <v>4.10355725889025</v>
      </c>
      <c r="BC70">
        <f>[1]!QDIST(AZ70,COUNT($AX$58:$AX$63),AZ$64)</f>
        <v>0.31269909875587176</v>
      </c>
      <c r="BD70">
        <f t="shared" si="30"/>
        <v>2.4362913230179153</v>
      </c>
      <c r="BE70" s="30">
        <f t="shared" si="31"/>
        <v>1.3383513269694283</v>
      </c>
    </row>
    <row r="71" spans="16:57" x14ac:dyDescent="0.25">
      <c r="P71" s="29" t="str">
        <f>K26</f>
        <v>5 ng/mL</v>
      </c>
      <c r="Q71">
        <f>COUNT(K27:K31)</f>
        <v>5</v>
      </c>
      <c r="R71">
        <f>SUM(K27:K31)</f>
        <v>13.194003222019418</v>
      </c>
      <c r="S71">
        <f>AVERAGE(K27:K31)</f>
        <v>2.6388006444038838</v>
      </c>
      <c r="T71">
        <f>_xlfn.VAR.S(K27:K31)</f>
        <v>1.0219001975639248</v>
      </c>
      <c r="U71">
        <f>DEVSQ(K27:K31)</f>
        <v>4.0876007902557028</v>
      </c>
      <c r="V71">
        <f>SQRT(S79/Q71)</f>
        <v>0.46168286934695202</v>
      </c>
      <c r="W71">
        <f>S71-V71*_xlfn.T.INV.2T(V68,R79)</f>
        <v>1.6757470547173199</v>
      </c>
      <c r="X71">
        <f>S71+V71*_xlfn.T.INV.2T(V68,R79)</f>
        <v>3.6018542340904478</v>
      </c>
      <c r="Z71" t="str">
        <f>M26</f>
        <v>15 ng/mL</v>
      </c>
      <c r="AA71">
        <f>AVERAGE(M27:M31)</f>
        <v>2.6672659358723352</v>
      </c>
      <c r="AB71">
        <f>COUNT(M27:M31)</f>
        <v>5</v>
      </c>
      <c r="AC71">
        <f>DEVSQ(M27:M31)</f>
        <v>3.9719361347144893</v>
      </c>
      <c r="AI71" s="30"/>
      <c r="AL71" s="42" t="s">
        <v>159</v>
      </c>
      <c r="AM71" s="23">
        <f>DEVSQ(B27:G31)</f>
        <v>88.899883393501284</v>
      </c>
      <c r="AN71" s="23">
        <f>COUNT(B27:G31)-1</f>
        <v>29</v>
      </c>
      <c r="AO71" s="23">
        <f>AM71/AN71</f>
        <v>3.0655132204655615</v>
      </c>
      <c r="AP71" s="23"/>
      <c r="AQ71" s="23"/>
      <c r="AR71" s="23"/>
      <c r="AS71" s="23"/>
      <c r="AT71" s="23"/>
      <c r="AV71">
        <f>AV58</f>
        <v>0</v>
      </c>
      <c r="AW71">
        <f>AV63</f>
        <v>90</v>
      </c>
      <c r="AX71">
        <f>ABS(AW58-AW63)</f>
        <v>3.9583023728954192</v>
      </c>
      <c r="AY71">
        <f>SQRT(AY64/AZ64/HARMEAN(AX58,AX63))</f>
        <v>0.55712127212849649</v>
      </c>
      <c r="AZ71">
        <f t="shared" si="27"/>
        <v>7.104920545885137</v>
      </c>
      <c r="BA71">
        <f t="shared" si="28"/>
        <v>1.5220110498775039</v>
      </c>
      <c r="BB71">
        <f t="shared" si="29"/>
        <v>6.3945936959133345</v>
      </c>
      <c r="BC71">
        <f>[1]!QDIST(AZ71,COUNT($AX$58:$AX$63),AZ$64)</f>
        <v>5.0225481832566476E-4</v>
      </c>
      <c r="BD71">
        <f t="shared" si="30"/>
        <v>2.4362913230179153</v>
      </c>
      <c r="BE71" s="30">
        <f t="shared" si="31"/>
        <v>3.1774170630668155</v>
      </c>
    </row>
    <row r="72" spans="16:57" x14ac:dyDescent="0.25">
      <c r="P72" s="29" t="str">
        <f>L26</f>
        <v>10 ng/mL</v>
      </c>
      <c r="Q72">
        <f>COUNT(L27:L31)</f>
        <v>5</v>
      </c>
      <c r="R72">
        <f>SUM(L27:L31)</f>
        <v>19.996300203141651</v>
      </c>
      <c r="S72">
        <f>AVERAGE(L27:L31)</f>
        <v>3.9992600406283301</v>
      </c>
      <c r="T72">
        <f>_xlfn.VAR.S(L27:L31)</f>
        <v>1.887607459899435</v>
      </c>
      <c r="U72">
        <f>DEVSQ(L27:L31)</f>
        <v>7.5504298395977356</v>
      </c>
      <c r="V72">
        <f>SQRT(S79/Q72)</f>
        <v>0.46168286934695202</v>
      </c>
      <c r="W72">
        <f>S72-V72*_xlfn.T.INV.2T(V68,R79)</f>
        <v>3.0362064509417661</v>
      </c>
      <c r="X72">
        <f>S72+V72*_xlfn.T.INV.2T(V68,R79)</f>
        <v>4.9623136303148936</v>
      </c>
      <c r="Z72" t="str">
        <f>N26</f>
        <v>20 ng/mL</v>
      </c>
      <c r="AA72">
        <f>AVERAGE(N27:N31)</f>
        <v>2.5915255357247751</v>
      </c>
      <c r="AB72">
        <f>COUNT(N27:N31)</f>
        <v>5</v>
      </c>
      <c r="AC72">
        <f>DEVSQ(N27:N31)</f>
        <v>0.83020438234168148</v>
      </c>
      <c r="AI72" s="30"/>
      <c r="AL72" s="29"/>
      <c r="AV72">
        <f>AV59</f>
        <v>10</v>
      </c>
      <c r="AW72" s="34">
        <f>AV60</f>
        <v>20</v>
      </c>
      <c r="AX72">
        <f>ABS(AW59-AW60)</f>
        <v>2.2943090780935371E-2</v>
      </c>
      <c r="AY72">
        <f>SQRT(AY64/AZ64/HARMEAN(AX59,AX60))</f>
        <v>0.55712127212849649</v>
      </c>
      <c r="AZ72">
        <f t="shared" si="27"/>
        <v>4.1181501997367087E-2</v>
      </c>
      <c r="BA72">
        <f t="shared" si="28"/>
        <v>-2.4133482322369799</v>
      </c>
      <c r="BB72">
        <f t="shared" si="29"/>
        <v>2.4592344137988507</v>
      </c>
      <c r="BC72" s="34">
        <f>[1]!QDIST(AZ72,COUNT($AX$58:$AX$63),AZ$64)</f>
        <v>0.9999999966018045</v>
      </c>
      <c r="BD72">
        <f t="shared" si="30"/>
        <v>2.4362913230179153</v>
      </c>
      <c r="BE72" s="30">
        <f t="shared" si="31"/>
        <v>1.8416927576331232E-2</v>
      </c>
    </row>
    <row r="73" spans="16:57" x14ac:dyDescent="0.25">
      <c r="P73" s="29" t="str">
        <f>M26</f>
        <v>15 ng/mL</v>
      </c>
      <c r="Q73">
        <f>COUNT(M27:M31)</f>
        <v>5</v>
      </c>
      <c r="R73">
        <f>SUM(M27:M31)</f>
        <v>13.336329679361675</v>
      </c>
      <c r="S73">
        <f>AVERAGE(M27:M31)</f>
        <v>2.6672659358723352</v>
      </c>
      <c r="T73">
        <f>_xlfn.VAR.S(M27:M31)</f>
        <v>0.99298403367862065</v>
      </c>
      <c r="U73">
        <f>DEVSQ(M27:M31)</f>
        <v>3.9719361347144893</v>
      </c>
      <c r="V73">
        <f>SQRT(S79/Q73)</f>
        <v>0.46168286934695202</v>
      </c>
      <c r="W73">
        <f>S73-V73*_xlfn.T.INV.2T(V68,R79)</f>
        <v>1.7042123461857712</v>
      </c>
      <c r="X73">
        <f>S73+V73*_xlfn.T.INV.2T(V68,R79)</f>
        <v>3.6303195255588991</v>
      </c>
      <c r="Z73" s="37"/>
      <c r="AA73" s="37"/>
      <c r="AB73" s="37">
        <f>SUM(AB68:AB72)</f>
        <v>25</v>
      </c>
      <c r="AC73" s="37">
        <f>SUM(AC68:AC72)</f>
        <v>21.31510718484348</v>
      </c>
      <c r="AD73" s="37">
        <f>AB73-COUNT(AB68:AB72)</f>
        <v>20</v>
      </c>
      <c r="AE73" s="37">
        <f>[1]!QCRIT(COUNT(AB68:AB72),AD73,AD66,2)</f>
        <v>4.2320000000000002</v>
      </c>
      <c r="AI73" s="30"/>
      <c r="AL73" s="29"/>
      <c r="AV73">
        <f>AV59</f>
        <v>10</v>
      </c>
      <c r="AW73">
        <f>AV61</f>
        <v>30</v>
      </c>
      <c r="AX73">
        <f>ABS(AW59-AW61)</f>
        <v>0.29576326056087066</v>
      </c>
      <c r="AY73">
        <f>SQRT(AY64/AZ64/HARMEAN(AX59,AX61))</f>
        <v>0.55712127212849649</v>
      </c>
      <c r="AZ73">
        <f t="shared" si="27"/>
        <v>0.53087770178097726</v>
      </c>
      <c r="BA73">
        <f t="shared" si="28"/>
        <v>-2.1405280624570446</v>
      </c>
      <c r="BB73">
        <f t="shared" si="29"/>
        <v>2.7320545835787859</v>
      </c>
      <c r="BC73">
        <f>[1]!QDIST(AZ73,COUNT($AX$58:$AX$63),AZ$64)</f>
        <v>0.99889779040899718</v>
      </c>
      <c r="BD73">
        <f t="shared" si="30"/>
        <v>2.4362913230179153</v>
      </c>
      <c r="BE73" s="30">
        <f t="shared" si="31"/>
        <v>0.23741572578422523</v>
      </c>
    </row>
    <row r="74" spans="16:57" ht="15.75" thickBot="1" x14ac:dyDescent="0.3">
      <c r="P74" s="29" t="str">
        <f>N26</f>
        <v>20 ng/mL</v>
      </c>
      <c r="Q74">
        <f>COUNT(N27:N31)</f>
        <v>5</v>
      </c>
      <c r="R74">
        <f>SUM(N27:N31)</f>
        <v>12.957627678623876</v>
      </c>
      <c r="S74">
        <f>AVERAGE(N27:N31)</f>
        <v>2.5915255357247751</v>
      </c>
      <c r="T74">
        <f>_xlfn.VAR.S(N27:N31)</f>
        <v>0.20755109558542095</v>
      </c>
      <c r="U74">
        <f>DEVSQ(N27:N31)</f>
        <v>0.83020438234168148</v>
      </c>
      <c r="V74">
        <f>SQRT(S79/Q74)</f>
        <v>0.46168286934695202</v>
      </c>
      <c r="W74">
        <f>S74-V74*_xlfn.T.INV.2T(V68,R79)</f>
        <v>1.6284719460382111</v>
      </c>
      <c r="X74">
        <f>S74+V74*_xlfn.T.INV.2T(V68,R79)</f>
        <v>3.554579125411339</v>
      </c>
      <c r="Z74" t="s">
        <v>167</v>
      </c>
      <c r="AI74" s="30"/>
      <c r="AL74" s="29"/>
      <c r="AV74">
        <f>AV59</f>
        <v>10</v>
      </c>
      <c r="AW74">
        <f>AV62</f>
        <v>60</v>
      </c>
      <c r="AX74">
        <f>ABS(AW59-AW62)</f>
        <v>1.1573291605727656</v>
      </c>
      <c r="AY74">
        <f>SQRT(AY64/AZ64/HARMEAN(AX59,AX62))</f>
        <v>0.55712127212849649</v>
      </c>
      <c r="AZ74">
        <f t="shared" si="27"/>
        <v>2.0773379486142383</v>
      </c>
      <c r="BA74">
        <f t="shared" si="28"/>
        <v>-1.2789621624451497</v>
      </c>
      <c r="BB74">
        <f t="shared" si="29"/>
        <v>3.5936204835906809</v>
      </c>
      <c r="BC74">
        <f>[1]!QDIST(AZ74,COUNT($AX$58:$AX$63),AZ$64)</f>
        <v>0.68618964589909348</v>
      </c>
      <c r="BD74">
        <f t="shared" si="30"/>
        <v>2.4362913230179153</v>
      </c>
      <c r="BE74" s="30">
        <f t="shared" si="31"/>
        <v>0.92901377306828015</v>
      </c>
    </row>
    <row r="75" spans="16:57" ht="15.75" thickTop="1" x14ac:dyDescent="0.25">
      <c r="P75" s="39"/>
      <c r="Q75" s="37"/>
      <c r="R75" s="37"/>
      <c r="S75" s="37"/>
      <c r="T75" s="37"/>
      <c r="U75" s="37"/>
      <c r="V75" s="37"/>
      <c r="W75" s="37"/>
      <c r="X75" s="37"/>
      <c r="Z75" s="36" t="s">
        <v>168</v>
      </c>
      <c r="AA75" s="36" t="s">
        <v>169</v>
      </c>
      <c r="AB75" s="36" t="s">
        <v>163</v>
      </c>
      <c r="AC75" s="36" t="s">
        <v>170</v>
      </c>
      <c r="AD75" s="36" t="s">
        <v>171</v>
      </c>
      <c r="AE75" s="36" t="s">
        <v>172</v>
      </c>
      <c r="AF75" s="36" t="s">
        <v>173</v>
      </c>
      <c r="AG75" s="36" t="s">
        <v>174</v>
      </c>
      <c r="AH75" s="36" t="s">
        <v>175</v>
      </c>
      <c r="AI75" s="40" t="s">
        <v>176</v>
      </c>
      <c r="AL75" s="29"/>
      <c r="AV75">
        <f>AV59</f>
        <v>10</v>
      </c>
      <c r="AW75">
        <f>AV63</f>
        <v>90</v>
      </c>
      <c r="AX75">
        <f>ABS(AW59-AW63)</f>
        <v>3.4483655975958496</v>
      </c>
      <c r="AY75">
        <f>SQRT(AY64/AZ64/HARMEAN(AX59,AX63))</f>
        <v>0.55712127212849649</v>
      </c>
      <c r="AZ75">
        <f t="shared" si="27"/>
        <v>6.1896139496186855</v>
      </c>
      <c r="BA75">
        <f t="shared" si="28"/>
        <v>1.0120742745779343</v>
      </c>
      <c r="BB75">
        <f t="shared" si="29"/>
        <v>5.8846569206137644</v>
      </c>
      <c r="BC75">
        <f>[1]!QDIST(AZ75,COUNT($AX$58:$AX$63),AZ$64)</f>
        <v>2.4798921128431628E-3</v>
      </c>
      <c r="BD75">
        <f t="shared" si="30"/>
        <v>2.4362913230179153</v>
      </c>
      <c r="BE75" s="30">
        <f t="shared" si="31"/>
        <v>2.7680795091656676</v>
      </c>
    </row>
    <row r="76" spans="16:57" ht="15.75" thickBot="1" x14ac:dyDescent="0.3">
      <c r="P76" s="29" t="s">
        <v>148</v>
      </c>
      <c r="Z76" s="37" t="str">
        <f>Z68</f>
        <v>0 ng/mL</v>
      </c>
      <c r="AA76" s="37" t="str">
        <f>Z69</f>
        <v>5 ng/mL</v>
      </c>
      <c r="AB76" s="37">
        <f>ABS(AA68-AA69)</f>
        <v>0.78340578802360605</v>
      </c>
      <c r="AC76" s="37">
        <f>SQRT(AC73/AD73/HARMEAN(AB68,AB69))</f>
        <v>0.46168286934695202</v>
      </c>
      <c r="AD76" s="37">
        <f>AB76/AC76</f>
        <v>1.6968482914077565</v>
      </c>
      <c r="AE76" s="37">
        <f>AB76-AC76*AE$73</f>
        <v>-1.170436115052695</v>
      </c>
      <c r="AF76" s="37">
        <f>AB76+AC76*AE$73</f>
        <v>2.7372476910999071</v>
      </c>
      <c r="AG76" s="37">
        <f>[1]!QDIST(AD76,COUNT($AB$68:$AB$72),AD$73)</f>
        <v>0.75143366105602982</v>
      </c>
      <c r="AH76" s="37">
        <f>AC76*AE$73</f>
        <v>1.953841903076301</v>
      </c>
      <c r="AI76" s="41">
        <f>AB76*SQRT(AD$73/AC$73)</f>
        <v>0.75885362541842316</v>
      </c>
      <c r="AL76" s="29"/>
      <c r="AV76" s="34">
        <f>AV60</f>
        <v>20</v>
      </c>
      <c r="AW76">
        <f>AV61</f>
        <v>30</v>
      </c>
      <c r="AX76">
        <f>ABS(AW60-AW61)</f>
        <v>0.27282016977993528</v>
      </c>
      <c r="AY76">
        <f>SQRT(AY64/AZ64/HARMEAN(AX60,AX61))</f>
        <v>0.55712127212849649</v>
      </c>
      <c r="AZ76">
        <f t="shared" si="27"/>
        <v>0.48969619978361018</v>
      </c>
      <c r="BA76">
        <f t="shared" si="28"/>
        <v>-2.16347115323798</v>
      </c>
      <c r="BB76">
        <f t="shared" si="29"/>
        <v>2.7091114927978506</v>
      </c>
      <c r="BC76" s="34">
        <f>[1]!QDIST(AZ76,COUNT($AX$58:$AX$63),AZ$64)</f>
        <v>0.99925364604452005</v>
      </c>
      <c r="BD76">
        <f t="shared" si="30"/>
        <v>2.4362913230179153</v>
      </c>
      <c r="BE76" s="30">
        <f t="shared" si="31"/>
        <v>0.218998798207894</v>
      </c>
    </row>
    <row r="77" spans="16:57" ht="15.75" thickTop="1" x14ac:dyDescent="0.25">
      <c r="P77" s="38" t="s">
        <v>149</v>
      </c>
      <c r="Q77" s="36" t="s">
        <v>144</v>
      </c>
      <c r="R77" s="36" t="s">
        <v>150</v>
      </c>
      <c r="S77" s="36" t="s">
        <v>151</v>
      </c>
      <c r="T77" s="36" t="s">
        <v>152</v>
      </c>
      <c r="U77" s="36" t="s">
        <v>153</v>
      </c>
      <c r="V77" s="36" t="s">
        <v>154</v>
      </c>
      <c r="W77" s="36" t="s">
        <v>155</v>
      </c>
      <c r="X77" s="36" t="s">
        <v>156</v>
      </c>
      <c r="Z77" t="str">
        <f>Z68</f>
        <v>0 ng/mL</v>
      </c>
      <c r="AA77" s="34" t="str">
        <f>Z70</f>
        <v>10 ng/mL</v>
      </c>
      <c r="AB77">
        <f>ABS(AA68-AA70)</f>
        <v>2.1438651842480523</v>
      </c>
      <c r="AC77">
        <f>SQRT(AC73/AD73/HARMEAN(AB68,AB70))</f>
        <v>0.46168286934695202</v>
      </c>
      <c r="AD77">
        <f t="shared" ref="AD77:AD85" si="32">AB77/AC77</f>
        <v>4.643588329973209</v>
      </c>
      <c r="AE77">
        <f t="shared" ref="AE77:AE85" si="33">AB77-AC77*AE$73</f>
        <v>0.19002328117175127</v>
      </c>
      <c r="AF77">
        <f t="shared" ref="AF77:AF85" si="34">AB77+AC77*AE$73</f>
        <v>4.0977070873243537</v>
      </c>
      <c r="AG77" s="34">
        <f>[1]!QDIST(AD77,COUNT($AB$68:$AB$72),AD$73)</f>
        <v>2.7202730056978153E-2</v>
      </c>
      <c r="AH77">
        <f t="shared" ref="AH77:AH85" si="35">AC77*AE$73</f>
        <v>1.953841903076301</v>
      </c>
      <c r="AI77" s="30">
        <f t="shared" ref="AI77:AI85" si="36">AB77*SQRT(AD$73/AC$73)</f>
        <v>2.0766758330689639</v>
      </c>
      <c r="AL77" s="29"/>
      <c r="AV77" s="34">
        <f>AV60</f>
        <v>20</v>
      </c>
      <c r="AW77">
        <f>AV62</f>
        <v>60</v>
      </c>
      <c r="AX77">
        <f>ABS(AW60-AW62)</f>
        <v>1.1343860697918302</v>
      </c>
      <c r="AY77">
        <f>SQRT(AY64/AZ64/HARMEAN(AX60,AX62))</f>
        <v>0.55712127212849649</v>
      </c>
      <c r="AZ77">
        <f t="shared" si="27"/>
        <v>2.0361564466168711</v>
      </c>
      <c r="BA77">
        <f t="shared" si="28"/>
        <v>-1.3019052532260851</v>
      </c>
      <c r="BB77">
        <f t="shared" si="29"/>
        <v>3.5706773928097455</v>
      </c>
      <c r="BC77" s="34">
        <f>[1]!QDIST(AZ77,COUNT($AX$58:$AX$63),AZ$64)</f>
        <v>0.70346198051562725</v>
      </c>
      <c r="BD77">
        <f t="shared" si="30"/>
        <v>2.4362913230179153</v>
      </c>
      <c r="BE77" s="30">
        <f t="shared" si="31"/>
        <v>0.91059684549194886</v>
      </c>
    </row>
    <row r="78" spans="16:57" x14ac:dyDescent="0.25">
      <c r="P78" s="29" t="s">
        <v>157</v>
      </c>
      <c r="Q78">
        <f>Q80-Q79</f>
        <v>12.026461900837308</v>
      </c>
      <c r="R78">
        <f>COUNTA(P70:P74)-1</f>
        <v>4</v>
      </c>
      <c r="S78">
        <f>Q78/R78</f>
        <v>3.006615475209327</v>
      </c>
      <c r="T78">
        <f>S78/S79</f>
        <v>2.8211122272443832</v>
      </c>
      <c r="U78">
        <f>_xlfn.F.DIST.RT(T78,R78,R79)</f>
        <v>5.2533646025874084E-2</v>
      </c>
      <c r="V78">
        <f>Q78/Q80</f>
        <v>0.36070473677863935</v>
      </c>
      <c r="W78">
        <f>SQRT(DEVSQ(S70:S74)/(S79*R78))</f>
        <v>0.7511474192519576</v>
      </c>
      <c r="X78">
        <f>(Q80-R80*S79)/(Q80+S79)</f>
        <v>0.22563336699707148</v>
      </c>
      <c r="Z78" t="str">
        <f>Z68</f>
        <v>0 ng/mL</v>
      </c>
      <c r="AA78" t="str">
        <f>Z71</f>
        <v>15 ng/mL</v>
      </c>
      <c r="AB78">
        <f>ABS(AA68-AA71)</f>
        <v>0.81187107949205739</v>
      </c>
      <c r="AC78">
        <f>SQRT(AC73/AD73/HARMEAN(AB68,AB71))</f>
        <v>0.46168286934695202</v>
      </c>
      <c r="AD78">
        <f t="shared" si="32"/>
        <v>1.7585037985932741</v>
      </c>
      <c r="AE78">
        <f t="shared" si="33"/>
        <v>-1.1419708235842436</v>
      </c>
      <c r="AF78">
        <f t="shared" si="34"/>
        <v>2.7657129825683584</v>
      </c>
      <c r="AG78">
        <f>[1]!QDIST(AD78,COUNT($AB$68:$AB$72),AD$73)</f>
        <v>0.72693161586741373</v>
      </c>
      <c r="AH78">
        <f t="shared" si="35"/>
        <v>1.953841903076301</v>
      </c>
      <c r="AI78" s="30">
        <f t="shared" si="36"/>
        <v>0.78642680646923191</v>
      </c>
      <c r="AL78" s="29"/>
      <c r="AV78" s="34">
        <f>AV60</f>
        <v>20</v>
      </c>
      <c r="AW78">
        <f>AV63</f>
        <v>90</v>
      </c>
      <c r="AX78">
        <f>ABS(AW60-AW63)</f>
        <v>3.4254225068149142</v>
      </c>
      <c r="AY78">
        <f>SQRT(AY64/AZ64/HARMEAN(AX60,AX63))</f>
        <v>0.55712127212849649</v>
      </c>
      <c r="AZ78">
        <f t="shared" si="27"/>
        <v>6.1484324476213184</v>
      </c>
      <c r="BA78">
        <f t="shared" si="28"/>
        <v>0.98913118379699894</v>
      </c>
      <c r="BB78">
        <f t="shared" si="29"/>
        <v>5.86171382983283</v>
      </c>
      <c r="BC78" s="34">
        <f>[1]!QDIST(AZ78,COUNT($AX$58:$AX$63),AZ$64)</f>
        <v>2.6632529159481555E-3</v>
      </c>
      <c r="BD78">
        <f t="shared" si="30"/>
        <v>2.4362913230179153</v>
      </c>
      <c r="BE78" s="30">
        <f t="shared" si="31"/>
        <v>2.7496625815893361</v>
      </c>
    </row>
    <row r="79" spans="16:57" x14ac:dyDescent="0.25">
      <c r="P79" s="29" t="s">
        <v>158</v>
      </c>
      <c r="Q79">
        <f>SUM(U70:U74)</f>
        <v>21.31510718484348</v>
      </c>
      <c r="R79">
        <f>R80-R78</f>
        <v>20</v>
      </c>
      <c r="S79">
        <f>Q79/R79</f>
        <v>1.065755359242174</v>
      </c>
      <c r="Z79" t="str">
        <f>Z68</f>
        <v>0 ng/mL</v>
      </c>
      <c r="AA79" t="str">
        <f>Z72</f>
        <v>20 ng/mL</v>
      </c>
      <c r="AB79">
        <f>ABS(AA68-AA72)</f>
        <v>0.73613067934449727</v>
      </c>
      <c r="AC79">
        <f>SQRT(AC73/AD73/HARMEAN(AB68,AB72))</f>
        <v>0.46168286934695202</v>
      </c>
      <c r="AD79">
        <f t="shared" si="32"/>
        <v>1.594450927723938</v>
      </c>
      <c r="AE79">
        <f t="shared" si="33"/>
        <v>-1.2177112237318037</v>
      </c>
      <c r="AF79">
        <f t="shared" si="34"/>
        <v>2.6899725824207983</v>
      </c>
      <c r="AG79">
        <f>[1]!QDIST(AD79,COUNT($AB$68:$AB$72),AD$73)</f>
        <v>0.79039030798833287</v>
      </c>
      <c r="AH79">
        <f t="shared" si="35"/>
        <v>1.953841903076301</v>
      </c>
      <c r="AI79" s="30">
        <f t="shared" si="36"/>
        <v>0.71306013223566578</v>
      </c>
      <c r="AL79" s="29"/>
      <c r="AV79">
        <f>AV61</f>
        <v>30</v>
      </c>
      <c r="AW79">
        <f>AV62</f>
        <v>60</v>
      </c>
      <c r="AX79">
        <f>ABS(AW61-AW62)</f>
        <v>0.86156590001189493</v>
      </c>
      <c r="AY79">
        <f>SQRT(AY64/AZ64/HARMEAN(AX61,AX62))</f>
        <v>0.55712127212849649</v>
      </c>
      <c r="AZ79">
        <f t="shared" si="27"/>
        <v>1.5464602468332607</v>
      </c>
      <c r="BA79">
        <f t="shared" si="28"/>
        <v>-1.5747254230060204</v>
      </c>
      <c r="BB79">
        <f t="shared" si="29"/>
        <v>3.2978572230298102</v>
      </c>
      <c r="BC79">
        <f>[1]!QDIST(AZ79,COUNT($AX$58:$AX$63),AZ$64)</f>
        <v>0.87916487506526719</v>
      </c>
      <c r="BD79">
        <f t="shared" si="30"/>
        <v>2.4362913230179153</v>
      </c>
      <c r="BE79" s="30">
        <f t="shared" si="31"/>
        <v>0.69159804728405494</v>
      </c>
    </row>
    <row r="80" spans="16:57" x14ac:dyDescent="0.25">
      <c r="P80" s="42" t="s">
        <v>159</v>
      </c>
      <c r="Q80" s="23">
        <f>DEVSQ(J27:N31)</f>
        <v>33.341569085680788</v>
      </c>
      <c r="R80" s="23">
        <f>COUNT(J27:N31)-1</f>
        <v>24</v>
      </c>
      <c r="S80" s="23">
        <f>Q80/R80</f>
        <v>1.3892320452366995</v>
      </c>
      <c r="T80" s="23"/>
      <c r="U80" s="23"/>
      <c r="V80" s="23"/>
      <c r="W80" s="23"/>
      <c r="X80" s="23"/>
      <c r="Z80" t="str">
        <f>Z69</f>
        <v>5 ng/mL</v>
      </c>
      <c r="AA80" s="34" t="str">
        <f>Z70</f>
        <v>10 ng/mL</v>
      </c>
      <c r="AB80">
        <f>ABS(AA69-AA70)</f>
        <v>1.3604593962244462</v>
      </c>
      <c r="AC80">
        <f>SQRT(AC73/AD73/HARMEAN(AB69,AB70))</f>
        <v>0.46168286934695202</v>
      </c>
      <c r="AD80">
        <f t="shared" si="32"/>
        <v>2.9467400385654527</v>
      </c>
      <c r="AE80">
        <f t="shared" si="33"/>
        <v>-0.59338250685185479</v>
      </c>
      <c r="AF80">
        <f t="shared" si="34"/>
        <v>3.3143012993007472</v>
      </c>
      <c r="AG80" s="34">
        <f>[1]!QDIST(AD80,COUNT($AB$68:$AB$72),AD$73)</f>
        <v>0.26526500243303752</v>
      </c>
      <c r="AH80">
        <f t="shared" si="35"/>
        <v>1.953841903076301</v>
      </c>
      <c r="AI80" s="30">
        <f t="shared" si="36"/>
        <v>1.3178222076505408</v>
      </c>
      <c r="AL80" s="29"/>
      <c r="AV80">
        <f>AV61</f>
        <v>30</v>
      </c>
      <c r="AW80">
        <f>AV63</f>
        <v>90</v>
      </c>
      <c r="AX80">
        <f>ABS(AW61-AW63)</f>
        <v>3.1526023370349789</v>
      </c>
      <c r="AY80">
        <f>SQRT(AY64/AZ64/HARMEAN(AX61,AX63))</f>
        <v>0.55712127212849649</v>
      </c>
      <c r="AZ80">
        <f t="shared" si="27"/>
        <v>5.6587362478377079</v>
      </c>
      <c r="BA80">
        <f t="shared" si="28"/>
        <v>0.71631101401706365</v>
      </c>
      <c r="BB80">
        <f t="shared" si="29"/>
        <v>5.5888936600528947</v>
      </c>
      <c r="BC80">
        <f>[1]!QDIST(AZ80,COUNT($AX$58:$AX$63),AZ$64)</f>
        <v>6.1763137846703176E-3</v>
      </c>
      <c r="BD80">
        <f t="shared" si="30"/>
        <v>2.4362913230179153</v>
      </c>
      <c r="BE80" s="30">
        <f t="shared" si="31"/>
        <v>2.530663783381442</v>
      </c>
    </row>
    <row r="81" spans="16:57" ht="15.75" thickBot="1" x14ac:dyDescent="0.3">
      <c r="P81" s="29"/>
      <c r="Z81" t="str">
        <f>Z69</f>
        <v>5 ng/mL</v>
      </c>
      <c r="AA81" t="str">
        <f>Z71</f>
        <v>15 ng/mL</v>
      </c>
      <c r="AB81">
        <f>ABS(AA69-AA71)</f>
        <v>2.8465291468451337E-2</v>
      </c>
      <c r="AC81">
        <f>SQRT(AC73/AD73/HARMEAN(AB69,AB71))</f>
        <v>0.46168286934695202</v>
      </c>
      <c r="AD81">
        <f t="shared" si="32"/>
        <v>6.1655507185517502E-2</v>
      </c>
      <c r="AE81">
        <f t="shared" si="33"/>
        <v>-1.9253766116078497</v>
      </c>
      <c r="AF81">
        <f t="shared" si="34"/>
        <v>1.9823071945447523</v>
      </c>
      <c r="AG81">
        <f>[1]!QDIST(AD81,COUNT($AB$68:$AB$72),AD$73)</f>
        <v>0.99999910061994579</v>
      </c>
      <c r="AH81">
        <f t="shared" si="35"/>
        <v>1.953841903076301</v>
      </c>
      <c r="AI81" s="30">
        <f t="shared" si="36"/>
        <v>2.7573181050808773E-2</v>
      </c>
      <c r="AL81" s="31"/>
      <c r="AM81" s="32"/>
      <c r="AN81" s="32"/>
      <c r="AO81" s="32"/>
      <c r="AP81" s="32"/>
      <c r="AQ81" s="32"/>
      <c r="AR81" s="32"/>
      <c r="AS81" s="32"/>
      <c r="AT81" s="32"/>
      <c r="AU81" s="32"/>
      <c r="AV81" s="32">
        <f>AV62</f>
        <v>60</v>
      </c>
      <c r="AW81" s="32">
        <f>AV63</f>
        <v>90</v>
      </c>
      <c r="AX81" s="32">
        <f>ABS(AW62-AW63)</f>
        <v>2.291036437023084</v>
      </c>
      <c r="AY81" s="32">
        <f>SQRT(AY64/AZ64/HARMEAN(AX62,AX63))</f>
        <v>0.55712127212849649</v>
      </c>
      <c r="AZ81" s="32">
        <f t="shared" si="27"/>
        <v>4.1122760010044477</v>
      </c>
      <c r="BA81" s="32">
        <f t="shared" si="28"/>
        <v>-0.14525488599483127</v>
      </c>
      <c r="BB81" s="32">
        <f t="shared" si="29"/>
        <v>4.7273277600409997</v>
      </c>
      <c r="BC81" s="32">
        <f>[1]!QDIST(AZ81,COUNT($AX$58:$AX$63),AZ$64)</f>
        <v>7.3758095042409377E-2</v>
      </c>
      <c r="BD81" s="32">
        <f t="shared" si="30"/>
        <v>2.4362913230179153</v>
      </c>
      <c r="BE81" s="33">
        <f t="shared" si="31"/>
        <v>1.8390657360973872</v>
      </c>
    </row>
    <row r="82" spans="16:57" ht="15.75" thickBot="1" x14ac:dyDescent="0.3">
      <c r="P82" s="29"/>
      <c r="Z82" t="str">
        <f>Z69</f>
        <v>5 ng/mL</v>
      </c>
      <c r="AA82" t="str">
        <f>Z72</f>
        <v>20 ng/mL</v>
      </c>
      <c r="AB82">
        <f>ABS(AA69-AA72)</f>
        <v>4.7275108679108779E-2</v>
      </c>
      <c r="AC82">
        <f>SQRT(AC73/AD73/HARMEAN(AB69,AB72))</f>
        <v>0.46168286934695202</v>
      </c>
      <c r="AD82">
        <f t="shared" si="32"/>
        <v>0.10239736368381866</v>
      </c>
      <c r="AE82">
        <f t="shared" si="33"/>
        <v>-1.9065667943971922</v>
      </c>
      <c r="AF82">
        <f t="shared" si="34"/>
        <v>2.0011170117554098</v>
      </c>
      <c r="AG82">
        <f>[1]!QDIST(AD82,COUNT($AB$68:$AB$72),AD$73)</f>
        <v>0.9999931703492061</v>
      </c>
      <c r="AH82">
        <f t="shared" si="35"/>
        <v>1.953841903076301</v>
      </c>
      <c r="AI82" s="30">
        <f t="shared" si="36"/>
        <v>4.5793493182757355E-2</v>
      </c>
    </row>
    <row r="83" spans="16:57" ht="15.75" thickBot="1" x14ac:dyDescent="0.3">
      <c r="P83" s="29"/>
      <c r="Z83" s="34" t="str">
        <f>Z70</f>
        <v>10 ng/mL</v>
      </c>
      <c r="AA83" t="str">
        <f>Z71</f>
        <v>15 ng/mL</v>
      </c>
      <c r="AB83">
        <f>ABS(AA70-AA71)</f>
        <v>1.3319941047559949</v>
      </c>
      <c r="AC83">
        <f>SQRT(AC73/AD73/HARMEAN(AB70,AB71))</f>
        <v>0.46168286934695202</v>
      </c>
      <c r="AD83">
        <f t="shared" si="32"/>
        <v>2.8850845313799351</v>
      </c>
      <c r="AE83">
        <f t="shared" si="33"/>
        <v>-0.62184779832030612</v>
      </c>
      <c r="AF83">
        <f t="shared" si="34"/>
        <v>3.2858360078322959</v>
      </c>
      <c r="AG83" s="34">
        <f>[1]!QDIST(AD83,COUNT($AB$68:$AB$72),AD$73)</f>
        <v>0.28381414983706377</v>
      </c>
      <c r="AH83">
        <f t="shared" si="35"/>
        <v>1.953841903076301</v>
      </c>
      <c r="AI83" s="30">
        <f t="shared" si="36"/>
        <v>1.290249026599732</v>
      </c>
      <c r="AL83" s="26" t="s">
        <v>136</v>
      </c>
      <c r="AM83" s="27"/>
      <c r="AN83" s="27"/>
      <c r="AO83" s="27"/>
      <c r="AP83" s="27"/>
      <c r="AQ83" s="27"/>
      <c r="AR83" s="27"/>
      <c r="AS83" s="27"/>
      <c r="AT83" s="27"/>
      <c r="AU83" s="27"/>
      <c r="AV83" s="27" t="s">
        <v>160</v>
      </c>
      <c r="AW83" s="27"/>
      <c r="AX83" s="27"/>
      <c r="AY83" s="27" t="s">
        <v>161</v>
      </c>
      <c r="AZ83" s="27">
        <v>0.05</v>
      </c>
      <c r="BA83" s="27"/>
      <c r="BB83" s="27"/>
      <c r="BC83" s="27"/>
      <c r="BD83" s="27"/>
      <c r="BE83" s="28"/>
    </row>
    <row r="84" spans="16:57" ht="15.75" thickTop="1" x14ac:dyDescent="0.25">
      <c r="P84" s="29"/>
      <c r="Z84" s="34" t="str">
        <f>Z70</f>
        <v>10 ng/mL</v>
      </c>
      <c r="AA84" t="str">
        <f>Z72</f>
        <v>20 ng/mL</v>
      </c>
      <c r="AB84">
        <f>ABS(AA70-AA72)</f>
        <v>1.407734504903555</v>
      </c>
      <c r="AC84">
        <f>SQRT(AC73/AD73/HARMEAN(AB70,AB72))</f>
        <v>0.46168286934695202</v>
      </c>
      <c r="AD84">
        <f t="shared" si="32"/>
        <v>3.0491374022492712</v>
      </c>
      <c r="AE84">
        <f t="shared" si="33"/>
        <v>-0.54610739817274601</v>
      </c>
      <c r="AF84">
        <f t="shared" si="34"/>
        <v>3.361576407979856</v>
      </c>
      <c r="AG84" s="34">
        <f>[1]!QDIST(AD84,COUNT($AB$68:$AB$72),AD$73)</f>
        <v>0.2363698379491429</v>
      </c>
      <c r="AH84">
        <f t="shared" si="35"/>
        <v>1.953841903076301</v>
      </c>
      <c r="AI84" s="30">
        <f t="shared" si="36"/>
        <v>1.3636157008332981</v>
      </c>
      <c r="AL84" s="29"/>
      <c r="AV84" s="36" t="s">
        <v>162</v>
      </c>
      <c r="AW84" s="36" t="s">
        <v>163</v>
      </c>
      <c r="AX84" s="36" t="s">
        <v>164</v>
      </c>
      <c r="AY84" s="36" t="s">
        <v>165</v>
      </c>
      <c r="AZ84" s="36" t="s">
        <v>150</v>
      </c>
      <c r="BA84" s="36" t="s">
        <v>166</v>
      </c>
      <c r="BE84" s="30"/>
    </row>
    <row r="85" spans="16:57" ht="15.75" thickBot="1" x14ac:dyDescent="0.3">
      <c r="P85" s="31"/>
      <c r="Q85" s="32"/>
      <c r="R85" s="32"/>
      <c r="S85" s="32"/>
      <c r="T85" s="32"/>
      <c r="U85" s="32"/>
      <c r="V85" s="32"/>
      <c r="W85" s="32"/>
      <c r="X85" s="32"/>
      <c r="Y85" s="32"/>
      <c r="Z85" s="32" t="str">
        <f>Z71</f>
        <v>15 ng/mL</v>
      </c>
      <c r="AA85" s="32" t="str">
        <f>Z72</f>
        <v>20 ng/mL</v>
      </c>
      <c r="AB85" s="32">
        <f>ABS(AA71-AA72)</f>
        <v>7.5740400147560116E-2</v>
      </c>
      <c r="AC85" s="32">
        <f>SQRT(AC73/AD73/HARMEAN(AB71,AB72))</f>
        <v>0.46168286934695202</v>
      </c>
      <c r="AD85" s="32">
        <f t="shared" si="32"/>
        <v>0.16405287086933615</v>
      </c>
      <c r="AE85" s="32">
        <f t="shared" si="33"/>
        <v>-1.8781015029287409</v>
      </c>
      <c r="AF85" s="32">
        <f t="shared" si="34"/>
        <v>2.0295823032238611</v>
      </c>
      <c r="AG85" s="32">
        <f>[1]!QDIST(AD85,COUNT($AB$68:$AB$72),AD$73)</f>
        <v>0.99995520972954399</v>
      </c>
      <c r="AH85" s="32">
        <f t="shared" si="35"/>
        <v>1.953841903076301</v>
      </c>
      <c r="AI85" s="33">
        <f t="shared" si="36"/>
        <v>7.3366674233566131E-2</v>
      </c>
      <c r="AL85" s="29" t="s">
        <v>137</v>
      </c>
      <c r="AQ85" t="s">
        <v>138</v>
      </c>
      <c r="AR85">
        <v>0.05</v>
      </c>
      <c r="AV85">
        <f>B34</f>
        <v>0</v>
      </c>
      <c r="AW85">
        <f>AVERAGE(B35:B39)</f>
        <v>1</v>
      </c>
      <c r="AX85">
        <f>COUNT(B35:B39)</f>
        <v>5</v>
      </c>
      <c r="AY85">
        <f>DEVSQ(B35:B39)</f>
        <v>0</v>
      </c>
      <c r="BE85" s="30"/>
    </row>
    <row r="86" spans="16:57" ht="16.5" thickTop="1" thickBot="1" x14ac:dyDescent="0.3">
      <c r="AL86" s="38" t="s">
        <v>139</v>
      </c>
      <c r="AM86" s="36" t="s">
        <v>140</v>
      </c>
      <c r="AN86" s="36" t="s">
        <v>141</v>
      </c>
      <c r="AO86" s="36" t="s">
        <v>142</v>
      </c>
      <c r="AP86" s="36" t="s">
        <v>143</v>
      </c>
      <c r="AQ86" s="36" t="s">
        <v>144</v>
      </c>
      <c r="AR86" s="36" t="s">
        <v>145</v>
      </c>
      <c r="AS86" s="36" t="s">
        <v>146</v>
      </c>
      <c r="AT86" s="36" t="s">
        <v>147</v>
      </c>
      <c r="AV86">
        <f>C34</f>
        <v>10</v>
      </c>
      <c r="AW86">
        <f>AVERAGE(C35:C39)</f>
        <v>1.3577277130115386</v>
      </c>
      <c r="AX86">
        <f>COUNT(C35:C39)</f>
        <v>5</v>
      </c>
      <c r="AY86">
        <f>DEVSQ(C35:C39)</f>
        <v>1.2768160126122505</v>
      </c>
      <c r="BE86" s="30"/>
    </row>
    <row r="87" spans="16:57" ht="15.75" thickBot="1" x14ac:dyDescent="0.3">
      <c r="P87" s="26" t="s">
        <v>181</v>
      </c>
      <c r="Q87" s="27"/>
      <c r="R87" s="27"/>
      <c r="S87" s="27"/>
      <c r="T87" s="27"/>
      <c r="U87" s="27"/>
      <c r="V87" s="27"/>
      <c r="W87" s="27"/>
      <c r="X87" s="27"/>
      <c r="Y87" s="27"/>
      <c r="Z87" s="27" t="s">
        <v>160</v>
      </c>
      <c r="AA87" s="27"/>
      <c r="AB87" s="27"/>
      <c r="AC87" s="27" t="s">
        <v>161</v>
      </c>
      <c r="AD87" s="27">
        <v>0.05</v>
      </c>
      <c r="AE87" s="27"/>
      <c r="AF87" s="27"/>
      <c r="AG87" s="27"/>
      <c r="AH87" s="27"/>
      <c r="AI87" s="28"/>
      <c r="AL87" s="29">
        <f>B34</f>
        <v>0</v>
      </c>
      <c r="AM87">
        <f>COUNT(B35:B39)</f>
        <v>5</v>
      </c>
      <c r="AN87">
        <f>SUM(B35:B39)</f>
        <v>5</v>
      </c>
      <c r="AO87">
        <f>AVERAGE(B35:B39)</f>
        <v>1</v>
      </c>
      <c r="AP87">
        <f>_xlfn.VAR.S(B35:B39)</f>
        <v>0</v>
      </c>
      <c r="AQ87">
        <f>DEVSQ(B35:B39)</f>
        <v>0</v>
      </c>
      <c r="AR87">
        <f>SQRT(AO97/AM87)</f>
        <v>0.35746514475068053</v>
      </c>
      <c r="AS87">
        <f>AO87-AR87*_xlfn.T.INV.2T(AR85,AN97)</f>
        <v>0.26222820191691654</v>
      </c>
      <c r="AT87">
        <f>AO87+AR87*_xlfn.T.INV.2T(AR85,AN97)</f>
        <v>1.7377717980830836</v>
      </c>
      <c r="AV87">
        <f>D34</f>
        <v>20</v>
      </c>
      <c r="AW87">
        <f>AVERAGE(D35:D39)</f>
        <v>1.7215974394471327</v>
      </c>
      <c r="AX87">
        <f>COUNT(D35:D39)</f>
        <v>5</v>
      </c>
      <c r="AY87">
        <f>DEVSQ(D35:D39)</f>
        <v>0.72268534871135981</v>
      </c>
      <c r="BE87" s="30"/>
    </row>
    <row r="88" spans="16:57" ht="15.75" thickTop="1" x14ac:dyDescent="0.25">
      <c r="P88" s="29"/>
      <c r="Z88" s="36" t="s">
        <v>162</v>
      </c>
      <c r="AA88" s="36" t="s">
        <v>163</v>
      </c>
      <c r="AB88" s="36" t="s">
        <v>164</v>
      </c>
      <c r="AC88" s="36" t="s">
        <v>165</v>
      </c>
      <c r="AD88" s="36" t="s">
        <v>150</v>
      </c>
      <c r="AE88" s="36" t="s">
        <v>166</v>
      </c>
      <c r="AI88" s="30"/>
      <c r="AL88" s="29">
        <f>C34</f>
        <v>10</v>
      </c>
      <c r="AM88">
        <f>COUNT(C35:C39)</f>
        <v>5</v>
      </c>
      <c r="AN88">
        <f>SUM(C35:C39)</f>
        <v>6.7886385650576928</v>
      </c>
      <c r="AO88">
        <f>AVERAGE(C35:C39)</f>
        <v>1.3577277130115386</v>
      </c>
      <c r="AP88">
        <f>_xlfn.VAR.S(C35:C39)</f>
        <v>0.31920400315306319</v>
      </c>
      <c r="AQ88">
        <f>DEVSQ(C35:C39)</f>
        <v>1.2768160126122505</v>
      </c>
      <c r="AR88">
        <f>SQRT(AO97/AM88)</f>
        <v>0.35746514475068053</v>
      </c>
      <c r="AS88">
        <f>AO88-AR88*_xlfn.T.INV.2T(AR85,AN97)</f>
        <v>0.61995591492845514</v>
      </c>
      <c r="AT88">
        <f>AO88+AR88*_xlfn.T.INV.2T(AR85,AN97)</f>
        <v>2.095499511094622</v>
      </c>
      <c r="AV88">
        <f>E34</f>
        <v>30</v>
      </c>
      <c r="AW88">
        <f>AVERAGE(E35:E39)</f>
        <v>2.632205566754855</v>
      </c>
      <c r="AX88">
        <f>COUNT(E35:E39)</f>
        <v>5</v>
      </c>
      <c r="AY88">
        <f>DEVSQ(E35:E39)</f>
        <v>3.5073737638780189</v>
      </c>
      <c r="BE88" s="30"/>
    </row>
    <row r="89" spans="16:57" ht="15.75" thickBot="1" x14ac:dyDescent="0.3">
      <c r="P89" s="29" t="s">
        <v>137</v>
      </c>
      <c r="U89" t="s">
        <v>138</v>
      </c>
      <c r="V89">
        <v>0.05</v>
      </c>
      <c r="Z89" t="str">
        <f>J34</f>
        <v>0 ng/mL</v>
      </c>
      <c r="AA89">
        <f>AVERAGE(J35:J39)</f>
        <v>3.0623909654205845</v>
      </c>
      <c r="AB89">
        <f>COUNT(J35:J39)</f>
        <v>5</v>
      </c>
      <c r="AC89">
        <f>DEVSQ(J35:J39)</f>
        <v>16.585299028653356</v>
      </c>
      <c r="AI89" s="30"/>
      <c r="AL89" s="29">
        <f>D34</f>
        <v>20</v>
      </c>
      <c r="AM89">
        <f>COUNT(D35:D39)</f>
        <v>5</v>
      </c>
      <c r="AN89">
        <f>SUM(D35:D39)</f>
        <v>8.6079871972356639</v>
      </c>
      <c r="AO89">
        <f>AVERAGE(D35:D39)</f>
        <v>1.7215974394471327</v>
      </c>
      <c r="AP89">
        <f>_xlfn.VAR.S(D35:D39)</f>
        <v>0.18067133717783967</v>
      </c>
      <c r="AQ89">
        <f>DEVSQ(D35:D39)</f>
        <v>0.72268534871135981</v>
      </c>
      <c r="AR89">
        <f>SQRT(AO97/AM89)</f>
        <v>0.35746514475068053</v>
      </c>
      <c r="AS89">
        <f>AO89-AR89*_xlfn.T.INV.2T(AR85,AN97)</f>
        <v>0.98382564136404926</v>
      </c>
      <c r="AT89">
        <f>AO89+AR89*_xlfn.T.INV.2T(AR85,AN97)</f>
        <v>2.4593692375302161</v>
      </c>
      <c r="AV89">
        <f>F34</f>
        <v>60</v>
      </c>
      <c r="AW89">
        <f>AVERAGE(F35:F39)</f>
        <v>2.5915255357247751</v>
      </c>
      <c r="AX89">
        <f>COUNT(F35:F39)</f>
        <v>5</v>
      </c>
      <c r="AY89">
        <f>DEVSQ(F35:F39)</f>
        <v>0.83020438234168148</v>
      </c>
      <c r="BE89" s="30"/>
    </row>
    <row r="90" spans="16:57" ht="15.75" thickTop="1" x14ac:dyDescent="0.25">
      <c r="P90" s="38" t="s">
        <v>139</v>
      </c>
      <c r="Q90" s="36" t="s">
        <v>140</v>
      </c>
      <c r="R90" s="36" t="s">
        <v>141</v>
      </c>
      <c r="S90" s="36" t="s">
        <v>142</v>
      </c>
      <c r="T90" s="36" t="s">
        <v>143</v>
      </c>
      <c r="U90" s="36" t="s">
        <v>144</v>
      </c>
      <c r="V90" s="36" t="s">
        <v>145</v>
      </c>
      <c r="W90" s="36" t="s">
        <v>146</v>
      </c>
      <c r="X90" s="36" t="s">
        <v>147</v>
      </c>
      <c r="Z90" t="str">
        <f>K34</f>
        <v>5 ng/mL</v>
      </c>
      <c r="AA90">
        <f>AVERAGE(K35:K39)</f>
        <v>2.8459221610295078</v>
      </c>
      <c r="AB90">
        <f>COUNT(K35:K39)</f>
        <v>5</v>
      </c>
      <c r="AC90">
        <f>DEVSQ(K35:K39)</f>
        <v>6.2348766119999501</v>
      </c>
      <c r="AI90" s="30"/>
      <c r="AL90" s="29">
        <f>E34</f>
        <v>30</v>
      </c>
      <c r="AM90">
        <f>COUNT(E35:E39)</f>
        <v>5</v>
      </c>
      <c r="AN90">
        <f>SUM(E35:E39)</f>
        <v>13.161027833774275</v>
      </c>
      <c r="AO90">
        <f>AVERAGE(E35:E39)</f>
        <v>2.632205566754855</v>
      </c>
      <c r="AP90">
        <f>_xlfn.VAR.S(E35:E39)</f>
        <v>0.87684344096950362</v>
      </c>
      <c r="AQ90">
        <f>DEVSQ(E35:E39)</f>
        <v>3.5073737638780189</v>
      </c>
      <c r="AR90">
        <f>SQRT(AO97/AM90)</f>
        <v>0.35746514475068053</v>
      </c>
      <c r="AS90">
        <f>AO90-AR90*_xlfn.T.INV.2T(AR85,AN97)</f>
        <v>1.8944337686717714</v>
      </c>
      <c r="AT90">
        <f>AO90+AR90*_xlfn.T.INV.2T(AR85,AN97)</f>
        <v>3.3699773648379385</v>
      </c>
      <c r="AV90">
        <f>G34</f>
        <v>90</v>
      </c>
      <c r="AW90">
        <f>AVERAGE(G35:G39)</f>
        <v>4.0307461237402649</v>
      </c>
      <c r="AX90">
        <f>COUNT(G35:G39)</f>
        <v>5</v>
      </c>
      <c r="AY90">
        <f>DEVSQ(G35:G39)</f>
        <v>8.9966800578516857</v>
      </c>
      <c r="BE90" s="30"/>
    </row>
    <row r="91" spans="16:57" x14ac:dyDescent="0.25">
      <c r="P91" s="29" t="str">
        <f>J34</f>
        <v>0 ng/mL</v>
      </c>
      <c r="Q91">
        <f>COUNT(J35:J39)</f>
        <v>5</v>
      </c>
      <c r="R91">
        <f>SUM(J35:J39)</f>
        <v>15.311954827102923</v>
      </c>
      <c r="S91">
        <f>AVERAGE(J35:J39)</f>
        <v>3.0623909654205845</v>
      </c>
      <c r="T91">
        <f>_xlfn.VAR.S(J35:J39)</f>
        <v>4.1463247571633364</v>
      </c>
      <c r="U91">
        <f>DEVSQ(J35:J39)</f>
        <v>16.585299028653356</v>
      </c>
      <c r="V91">
        <f>SQRT(S100/Q91)</f>
        <v>1.0062607235493959</v>
      </c>
      <c r="W91">
        <f>S91-V91*_xlfn.T.INV.2T(V89,R100)</f>
        <v>0.96336787767724319</v>
      </c>
      <c r="X91">
        <f>S91+V91*_xlfn.T.INV.2T(V89,R100)</f>
        <v>5.1614140531639254</v>
      </c>
      <c r="Z91" t="str">
        <f>L34</f>
        <v>10 ng/mL</v>
      </c>
      <c r="AA91">
        <f>AVERAGE(L35:L39)</f>
        <v>7.4946817776745505</v>
      </c>
      <c r="AB91">
        <f>COUNT(L35:L39)</f>
        <v>5</v>
      </c>
      <c r="AC91">
        <f>DEVSQ(L35:L39)</f>
        <v>38.81189775896253</v>
      </c>
      <c r="AI91" s="30"/>
      <c r="AL91" s="29">
        <f>F34</f>
        <v>60</v>
      </c>
      <c r="AM91">
        <f>COUNT(F35:F39)</f>
        <v>5</v>
      </c>
      <c r="AN91">
        <f>SUM(F35:F39)</f>
        <v>12.957627678623876</v>
      </c>
      <c r="AO91">
        <f>AVERAGE(F35:F39)</f>
        <v>2.5915255357247751</v>
      </c>
      <c r="AP91">
        <f>_xlfn.VAR.S(F35:F39)</f>
        <v>0.20755109558542095</v>
      </c>
      <c r="AQ91">
        <f>DEVSQ(F35:F39)</f>
        <v>0.83020438234168148</v>
      </c>
      <c r="AR91">
        <f>SQRT(AO97/AM91)</f>
        <v>0.35746514475068053</v>
      </c>
      <c r="AS91">
        <f>AO91-AR91*_xlfn.T.INV.2T(AR85,AN97)</f>
        <v>1.8537537376416915</v>
      </c>
      <c r="AT91">
        <f>AO91+AR91*_xlfn.T.INV.2T(AR85,AN97)</f>
        <v>3.3292973338078586</v>
      </c>
      <c r="AV91" s="37"/>
      <c r="AW91" s="37"/>
      <c r="AX91" s="37">
        <f>SUM(AX85:AX90)</f>
        <v>30</v>
      </c>
      <c r="AY91" s="37">
        <f>SUM(AY85:AY90)</f>
        <v>15.333759565394995</v>
      </c>
      <c r="AZ91" s="37">
        <f>AX91-COUNT(AX85:AX90)</f>
        <v>24</v>
      </c>
      <c r="BA91" s="37">
        <f>[1]!QCRIT(COUNT(AX85:AX90),AZ91,AZ83,2)</f>
        <v>4.3730000000000002</v>
      </c>
      <c r="BE91" s="30"/>
    </row>
    <row r="92" spans="16:57" ht="15.75" thickBot="1" x14ac:dyDescent="0.3">
      <c r="P92" s="29" t="str">
        <f>K34</f>
        <v>5 ng/mL</v>
      </c>
      <c r="Q92">
        <f>COUNT(K35:K39)</f>
        <v>5</v>
      </c>
      <c r="R92">
        <f>SUM(K35:K39)</f>
        <v>14.229610805147539</v>
      </c>
      <c r="S92">
        <f>AVERAGE(K35:K39)</f>
        <v>2.8459221610295078</v>
      </c>
      <c r="T92">
        <f>_xlfn.VAR.S(K35:K39)</f>
        <v>1.5587191529999842</v>
      </c>
      <c r="U92">
        <f>DEVSQ(K35:K39)</f>
        <v>6.2348766119999501</v>
      </c>
      <c r="V92">
        <f>SQRT(S100/Q92)</f>
        <v>1.0062607235493959</v>
      </c>
      <c r="W92">
        <f>S92-V92*_xlfn.T.INV.2T(V89,R100)</f>
        <v>0.74689907328616645</v>
      </c>
      <c r="X92">
        <f>S92+V92*_xlfn.T.INV.2T(V89,R100)</f>
        <v>4.9449452487728491</v>
      </c>
      <c r="Z92" t="str">
        <f>M34</f>
        <v>15 ng/mL</v>
      </c>
      <c r="AA92">
        <f>AVERAGE(M35:M39)</f>
        <v>4.9583023728954192</v>
      </c>
      <c r="AB92">
        <f>COUNT(M35:M39)</f>
        <v>5</v>
      </c>
      <c r="AC92">
        <f>DEVSQ(M35:M39)</f>
        <v>30.627310918347856</v>
      </c>
      <c r="AI92" s="30"/>
      <c r="AL92" s="29">
        <f>G34</f>
        <v>90</v>
      </c>
      <c r="AM92">
        <f>COUNT(G35:G39)</f>
        <v>5</v>
      </c>
      <c r="AN92">
        <f>SUM(G35:G39)</f>
        <v>20.153730618701324</v>
      </c>
      <c r="AO92">
        <f>AVERAGE(G35:G39)</f>
        <v>4.0307461237402649</v>
      </c>
      <c r="AP92">
        <f>_xlfn.VAR.S(G35:G39)</f>
        <v>2.2491700144629121</v>
      </c>
      <c r="AQ92">
        <f>DEVSQ(G35:G39)</f>
        <v>8.9966800578516857</v>
      </c>
      <c r="AR92">
        <f>SQRT(AO97/AM92)</f>
        <v>0.35746514475068053</v>
      </c>
      <c r="AS92">
        <f>AO92-AR92*_xlfn.T.INV.2T(AR85,AN97)</f>
        <v>3.2929743256571813</v>
      </c>
      <c r="AT92">
        <f>AO92+AR92*_xlfn.T.INV.2T(AR85,AN97)</f>
        <v>4.7685179218233484</v>
      </c>
      <c r="AV92" t="s">
        <v>167</v>
      </c>
      <c r="BE92" s="30"/>
    </row>
    <row r="93" spans="16:57" ht="15.75" thickTop="1" x14ac:dyDescent="0.25">
      <c r="P93" s="29" t="str">
        <f>L34</f>
        <v>10 ng/mL</v>
      </c>
      <c r="Q93">
        <f>COUNT(L35:L39)</f>
        <v>5</v>
      </c>
      <c r="R93">
        <f>SUM(L35:L39)</f>
        <v>37.473408888372752</v>
      </c>
      <c r="S93">
        <f>AVERAGE(L35:L39)</f>
        <v>7.4946817776745505</v>
      </c>
      <c r="T93">
        <f>_xlfn.VAR.S(L35:L39)</f>
        <v>9.7029744397406148</v>
      </c>
      <c r="U93">
        <f>DEVSQ(L35:L39)</f>
        <v>38.81189775896253</v>
      </c>
      <c r="V93">
        <f>SQRT(S100/Q93)</f>
        <v>1.0062607235493959</v>
      </c>
      <c r="W93">
        <f>S93-V93*_xlfn.T.INV.2T(V89,R100)</f>
        <v>5.3956586899312091</v>
      </c>
      <c r="X93">
        <f>S93+V93*_xlfn.T.INV.2T(V89,R100)</f>
        <v>9.5937048654178909</v>
      </c>
      <c r="Z93" t="str">
        <f>N34</f>
        <v>20 ng/mL</v>
      </c>
      <c r="AA93">
        <f>AVERAGE(N35:N39)</f>
        <v>4.0307461237402649</v>
      </c>
      <c r="AB93">
        <f>COUNT(N35:N39)</f>
        <v>5</v>
      </c>
      <c r="AC93">
        <f>DEVSQ(N35:N39)</f>
        <v>8.9966800578516857</v>
      </c>
      <c r="AI93" s="30"/>
      <c r="AL93" s="39"/>
      <c r="AM93" s="37"/>
      <c r="AN93" s="37"/>
      <c r="AO93" s="37"/>
      <c r="AP93" s="37"/>
      <c r="AQ93" s="37"/>
      <c r="AR93" s="37"/>
      <c r="AS93" s="37"/>
      <c r="AT93" s="37"/>
      <c r="AV93" s="36" t="s">
        <v>168</v>
      </c>
      <c r="AW93" s="36" t="s">
        <v>169</v>
      </c>
      <c r="AX93" s="36" t="s">
        <v>163</v>
      </c>
      <c r="AY93" s="36" t="s">
        <v>170</v>
      </c>
      <c r="AZ93" s="36" t="s">
        <v>171</v>
      </c>
      <c r="BA93" s="36" t="s">
        <v>172</v>
      </c>
      <c r="BB93" s="36" t="s">
        <v>173</v>
      </c>
      <c r="BC93" s="36" t="s">
        <v>174</v>
      </c>
      <c r="BD93" s="36" t="s">
        <v>175</v>
      </c>
      <c r="BE93" s="40" t="s">
        <v>176</v>
      </c>
    </row>
    <row r="94" spans="16:57" ht="15.75" thickBot="1" x14ac:dyDescent="0.3">
      <c r="P94" s="29" t="str">
        <f>M34</f>
        <v>15 ng/mL</v>
      </c>
      <c r="Q94">
        <f>COUNT(M35:M39)</f>
        <v>5</v>
      </c>
      <c r="R94">
        <f>SUM(M35:M39)</f>
        <v>24.791511864477098</v>
      </c>
      <c r="S94">
        <f>AVERAGE(M35:M39)</f>
        <v>4.9583023728954192</v>
      </c>
      <c r="T94">
        <f>_xlfn.VAR.S(M35:M39)</f>
        <v>7.6568277295869649</v>
      </c>
      <c r="U94">
        <f>DEVSQ(M35:M39)</f>
        <v>30.627310918347856</v>
      </c>
      <c r="V94">
        <f>SQRT(S100/Q94)</f>
        <v>1.0062607235493959</v>
      </c>
      <c r="W94">
        <f>S94-V94*_xlfn.T.INV.2T(V89,R100)</f>
        <v>2.8592792851520779</v>
      </c>
      <c r="X94">
        <f>S94+V94*_xlfn.T.INV.2T(V89,R100)</f>
        <v>7.0573254606387605</v>
      </c>
      <c r="Z94" s="37"/>
      <c r="AA94" s="37"/>
      <c r="AB94" s="37">
        <f>SUM(AB89:AB93)</f>
        <v>25</v>
      </c>
      <c r="AC94" s="37">
        <f>SUM(AC89:AC93)</f>
        <v>101.25606437581538</v>
      </c>
      <c r="AD94" s="37">
        <f>AB94-COUNT(AB89:AB93)</f>
        <v>20</v>
      </c>
      <c r="AE94" s="37">
        <f>[1]!QCRIT(COUNT(AB89:AB93),AD94,AD87,2)</f>
        <v>4.2320000000000002</v>
      </c>
      <c r="AI94" s="30"/>
      <c r="AL94" s="29" t="s">
        <v>148</v>
      </c>
      <c r="AV94" s="37">
        <f>AV85</f>
        <v>0</v>
      </c>
      <c r="AW94" s="37">
        <f>AV86</f>
        <v>10</v>
      </c>
      <c r="AX94" s="37">
        <f>ABS(AW85-AW86)</f>
        <v>0.35772771301153861</v>
      </c>
      <c r="AY94" s="37">
        <f>SQRT(AY91/AZ91/HARMEAN(AX85,AX86))</f>
        <v>0.35746514475068053</v>
      </c>
      <c r="AZ94" s="37">
        <f>AX94/AY94</f>
        <v>1.000734528288181</v>
      </c>
      <c r="BA94" s="37">
        <f>AX94-AY94*BA$91</f>
        <v>-1.2054673649831875</v>
      </c>
      <c r="BB94" s="37">
        <f>AX94+AY94*BA$91</f>
        <v>1.9209227910062647</v>
      </c>
      <c r="BC94" s="37">
        <f>[1]!QDIST(AZ94,COUNT($AX$85:$AX$90),AZ$91)</f>
        <v>0.9791842155386794</v>
      </c>
      <c r="BD94" s="37">
        <f>AY94*BA$91</f>
        <v>1.5631950779947261</v>
      </c>
      <c r="BE94" s="41">
        <f>AX94*SQRT(AZ$91/AY$91)</f>
        <v>0.44754208653671185</v>
      </c>
    </row>
    <row r="95" spans="16:57" ht="16.5" thickTop="1" thickBot="1" x14ac:dyDescent="0.3">
      <c r="P95" s="29" t="str">
        <f>N34</f>
        <v>20 ng/mL</v>
      </c>
      <c r="Q95">
        <f>COUNT(N35:N39)</f>
        <v>5</v>
      </c>
      <c r="R95">
        <f>SUM(N35:N39)</f>
        <v>20.153730618701324</v>
      </c>
      <c r="S95">
        <f>AVERAGE(N35:N39)</f>
        <v>4.0307461237402649</v>
      </c>
      <c r="T95">
        <f>_xlfn.VAR.S(N35:N39)</f>
        <v>2.2491700144629121</v>
      </c>
      <c r="U95">
        <f>DEVSQ(N35:N39)</f>
        <v>8.9966800578516857</v>
      </c>
      <c r="V95">
        <f>SQRT(S100/Q95)</f>
        <v>1.0062607235493959</v>
      </c>
      <c r="W95">
        <f>S95-V95*_xlfn.T.INV.2T(V89,R100)</f>
        <v>1.9317230359969235</v>
      </c>
      <c r="X95">
        <f>S95+V95*_xlfn.T.INV.2T(V89,R100)</f>
        <v>6.1297692114836062</v>
      </c>
      <c r="Z95" t="s">
        <v>167</v>
      </c>
      <c r="AI95" s="30"/>
      <c r="AL95" s="38" t="s">
        <v>149</v>
      </c>
      <c r="AM95" s="36" t="s">
        <v>144</v>
      </c>
      <c r="AN95" s="36" t="s">
        <v>150</v>
      </c>
      <c r="AO95" s="36" t="s">
        <v>151</v>
      </c>
      <c r="AP95" s="36" t="s">
        <v>152</v>
      </c>
      <c r="AQ95" s="36" t="s">
        <v>153</v>
      </c>
      <c r="AR95" s="36" t="s">
        <v>154</v>
      </c>
      <c r="AS95" s="36" t="s">
        <v>155</v>
      </c>
      <c r="AT95" s="36" t="s">
        <v>156</v>
      </c>
      <c r="AV95">
        <f>AV85</f>
        <v>0</v>
      </c>
      <c r="AW95" s="34">
        <f>AV87</f>
        <v>20</v>
      </c>
      <c r="AX95">
        <f>ABS(AW85-AW87)</f>
        <v>0.72159743944713273</v>
      </c>
      <c r="AY95">
        <f>SQRT(AY91/AZ91/HARMEAN(AX85,AX87))</f>
        <v>0.35746514475068053</v>
      </c>
      <c r="AZ95">
        <f t="shared" ref="AZ95:AZ108" si="37">AX95/AY95</f>
        <v>2.0186511889163956</v>
      </c>
      <c r="BA95">
        <f t="shared" ref="BA95:BA108" si="38">AX95-AY95*BA$91</f>
        <v>-0.8415976385475934</v>
      </c>
      <c r="BB95">
        <f t="shared" ref="BB95:BB108" si="39">AX95+AY95*BA$91</f>
        <v>2.2847925174418586</v>
      </c>
      <c r="BC95" s="34">
        <f>[1]!QDIST(AZ95,COUNT($AX$85:$AX$90),AZ$91)</f>
        <v>0.71072937455583218</v>
      </c>
      <c r="BD95">
        <f t="shared" ref="BD95:BD108" si="40">AY95*BA$91</f>
        <v>1.5631950779947261</v>
      </c>
      <c r="BE95" s="30">
        <f t="shared" ref="BE95:BE108" si="41">AX95*SQRT(AZ$91/AY$91)</f>
        <v>0.90276825625556623</v>
      </c>
    </row>
    <row r="96" spans="16:57" ht="15.75" thickTop="1" x14ac:dyDescent="0.25">
      <c r="P96" s="39"/>
      <c r="Q96" s="37"/>
      <c r="R96" s="37"/>
      <c r="S96" s="37"/>
      <c r="T96" s="37"/>
      <c r="U96" s="37"/>
      <c r="V96" s="37"/>
      <c r="W96" s="37"/>
      <c r="X96" s="37"/>
      <c r="Z96" s="36" t="s">
        <v>168</v>
      </c>
      <c r="AA96" s="36" t="s">
        <v>169</v>
      </c>
      <c r="AB96" s="36" t="s">
        <v>163</v>
      </c>
      <c r="AC96" s="36" t="s">
        <v>170</v>
      </c>
      <c r="AD96" s="36" t="s">
        <v>171</v>
      </c>
      <c r="AE96" s="36" t="s">
        <v>172</v>
      </c>
      <c r="AF96" s="36" t="s">
        <v>173</v>
      </c>
      <c r="AG96" s="36" t="s">
        <v>174</v>
      </c>
      <c r="AH96" s="36" t="s">
        <v>175</v>
      </c>
      <c r="AI96" s="40" t="s">
        <v>176</v>
      </c>
      <c r="AL96" s="29" t="s">
        <v>157</v>
      </c>
      <c r="AM96">
        <f>AM98-AM97</f>
        <v>30.335165179653817</v>
      </c>
      <c r="AN96">
        <f>COUNTA(AL87:AL92)-1</f>
        <v>5</v>
      </c>
      <c r="AO96">
        <f>AM96/AN96</f>
        <v>6.0670330359307636</v>
      </c>
      <c r="AP96">
        <f>AO96/AO97</f>
        <v>9.495961655153776</v>
      </c>
      <c r="AQ96">
        <f>_xlfn.F.DIST.RT(AP96,AN96,AN97)</f>
        <v>4.269340538329668E-5</v>
      </c>
      <c r="AR96">
        <f>AM96/AM98</f>
        <v>0.66424084536701511</v>
      </c>
      <c r="AS96">
        <f>SQRT(DEVSQ(AO87:AO92)/(AO97*AN96))</f>
        <v>1.3781118717400109</v>
      </c>
      <c r="AT96">
        <f>(AM98-AN98*AO97)/(AM98+AO97)</f>
        <v>0.58609162036057061</v>
      </c>
      <c r="AV96">
        <f>AV85</f>
        <v>0</v>
      </c>
      <c r="AW96">
        <f>AV88</f>
        <v>30</v>
      </c>
      <c r="AX96">
        <f>ABS(AW85-AW88)</f>
        <v>1.632205566754855</v>
      </c>
      <c r="AY96">
        <f>SQRT(AY91/AZ91/HARMEAN(AX85,AX88))</f>
        <v>0.35746514475068053</v>
      </c>
      <c r="AZ96">
        <f t="shared" si="37"/>
        <v>4.5660551545333501</v>
      </c>
      <c r="BA96">
        <f t="shared" si="38"/>
        <v>6.901048876012883E-2</v>
      </c>
      <c r="BB96">
        <f t="shared" si="39"/>
        <v>3.1954006447495811</v>
      </c>
      <c r="BC96">
        <f>[1]!QDIST(AZ96,COUNT($AX$85:$AX$90),AZ$91)</f>
        <v>3.7107036825819395E-2</v>
      </c>
      <c r="BD96">
        <f t="shared" si="40"/>
        <v>1.5631950779947261</v>
      </c>
      <c r="BE96" s="30">
        <f t="shared" si="41"/>
        <v>2.0420019429099758</v>
      </c>
    </row>
    <row r="97" spans="16:57" ht="15.75" thickBot="1" x14ac:dyDescent="0.3">
      <c r="P97" s="29" t="s">
        <v>148</v>
      </c>
      <c r="Z97" s="37" t="str">
        <f>Z89</f>
        <v>0 ng/mL</v>
      </c>
      <c r="AA97" s="37" t="str">
        <f>Z90</f>
        <v>5 ng/mL</v>
      </c>
      <c r="AB97" s="37">
        <f>ABS(AA89-AA90)</f>
        <v>0.21646880439107674</v>
      </c>
      <c r="AC97" s="37">
        <f>SQRT(AC94/AD94/HARMEAN(AB89,AB90))</f>
        <v>1.0062607235493959</v>
      </c>
      <c r="AD97" s="37">
        <f>AB97/AC97</f>
        <v>0.21512198511288769</v>
      </c>
      <c r="AE97" s="37">
        <f>AB97-AC97*AE$94</f>
        <v>-4.0420265776699669</v>
      </c>
      <c r="AF97" s="37">
        <f>AB97+AC97*AE$94</f>
        <v>4.4749641864521195</v>
      </c>
      <c r="AG97" s="37">
        <f>[1]!QDIST(AD97,COUNT($AB$89:$AB$93),AD$94)</f>
        <v>0.99986828388462379</v>
      </c>
      <c r="AH97" s="37">
        <f>AC97*AE$94</f>
        <v>4.2584953820610432</v>
      </c>
      <c r="AI97" s="41">
        <f>AB97*SQRT(AD$94/AC$94)</f>
        <v>9.6205476433422921E-2</v>
      </c>
      <c r="AL97" s="29" t="s">
        <v>158</v>
      </c>
      <c r="AM97">
        <f>SUM(AQ87:AQ92)</f>
        <v>15.333759565394995</v>
      </c>
      <c r="AN97">
        <f>AN98-AN96</f>
        <v>24</v>
      </c>
      <c r="AO97">
        <f>AM97/AN97</f>
        <v>0.63890664855812485</v>
      </c>
      <c r="AV97">
        <f>AV85</f>
        <v>0</v>
      </c>
      <c r="AW97">
        <f>AV89</f>
        <v>60</v>
      </c>
      <c r="AX97">
        <f>ABS(AW85-AW89)</f>
        <v>1.5915255357247751</v>
      </c>
      <c r="AY97">
        <f>SQRT(AY91/AZ91/HARMEAN(AX85,AX89))</f>
        <v>0.35746514475068053</v>
      </c>
      <c r="AZ97">
        <f t="shared" si="37"/>
        <v>4.4522537626285459</v>
      </c>
      <c r="BA97">
        <f t="shared" si="38"/>
        <v>2.8330457730048941E-2</v>
      </c>
      <c r="BB97">
        <f t="shared" si="39"/>
        <v>3.1547206137195012</v>
      </c>
      <c r="BC97">
        <f>[1]!QDIST(AZ97,COUNT($AX$85:$AX$90),AZ$91)</f>
        <v>4.426469079216333E-2</v>
      </c>
      <c r="BD97">
        <f t="shared" si="40"/>
        <v>1.5631950779947261</v>
      </c>
      <c r="BE97" s="30">
        <f t="shared" si="41"/>
        <v>1.9911084132633283</v>
      </c>
    </row>
    <row r="98" spans="16:57" ht="15.75" thickTop="1" x14ac:dyDescent="0.25">
      <c r="P98" s="38" t="s">
        <v>149</v>
      </c>
      <c r="Q98" s="36" t="s">
        <v>144</v>
      </c>
      <c r="R98" s="36" t="s">
        <v>150</v>
      </c>
      <c r="S98" s="36" t="s">
        <v>151</v>
      </c>
      <c r="T98" s="36" t="s">
        <v>152</v>
      </c>
      <c r="U98" s="36" t="s">
        <v>153</v>
      </c>
      <c r="V98" s="36" t="s">
        <v>154</v>
      </c>
      <c r="W98" s="36" t="s">
        <v>155</v>
      </c>
      <c r="X98" s="36" t="s">
        <v>156</v>
      </c>
      <c r="Z98" t="str">
        <f>Z89</f>
        <v>0 ng/mL</v>
      </c>
      <c r="AA98" s="34" t="str">
        <f>Z91</f>
        <v>10 ng/mL</v>
      </c>
      <c r="AB98">
        <f>ABS(AA89-AA91)</f>
        <v>4.4322908122539655</v>
      </c>
      <c r="AC98">
        <f>SQRT(AC94/AD94/HARMEAN(AB89,AB91))</f>
        <v>1.0062607235493959</v>
      </c>
      <c r="AD98">
        <f t="shared" ref="AD98:AD106" si="42">AB98/AC98</f>
        <v>4.4047141148666631</v>
      </c>
      <c r="AE98">
        <f t="shared" ref="AE98:AE106" si="43">AB98-AC98*AE$94</f>
        <v>0.17379543019292232</v>
      </c>
      <c r="AF98">
        <f t="shared" ref="AF98:AF106" si="44">AB98+AC98*AE$94</f>
        <v>8.6907861943150095</v>
      </c>
      <c r="AG98" s="34">
        <f>[1]!QDIST(AD98,COUNT($AB$89:$AB$93),AD$94)</f>
        <v>3.8842654152637324E-2</v>
      </c>
      <c r="AH98">
        <f t="shared" ref="AH98:AH106" si="45">AC98*AE$94</f>
        <v>4.2584953820610432</v>
      </c>
      <c r="AI98" s="30">
        <f t="shared" ref="AI98:AI106" si="46">AB98*SQRT(AD$94/AC$94)</f>
        <v>1.969848036458935</v>
      </c>
      <c r="AL98" s="42" t="s">
        <v>159</v>
      </c>
      <c r="AM98" s="23">
        <f>DEVSQ(B35:G39)</f>
        <v>45.668924745048812</v>
      </c>
      <c r="AN98" s="23">
        <f>COUNT(B35:G39)-1</f>
        <v>29</v>
      </c>
      <c r="AO98" s="23">
        <f>AM98/AN98</f>
        <v>1.5747905084499592</v>
      </c>
      <c r="AP98" s="23"/>
      <c r="AQ98" s="23"/>
      <c r="AR98" s="23"/>
      <c r="AS98" s="23"/>
      <c r="AT98" s="23"/>
      <c r="AV98">
        <f>AV85</f>
        <v>0</v>
      </c>
      <c r="AW98">
        <f>AV90</f>
        <v>90</v>
      </c>
      <c r="AX98">
        <f>ABS(AW85-AW90)</f>
        <v>3.0307461237402649</v>
      </c>
      <c r="AY98">
        <f>SQRT(AY91/AZ91/HARMEAN(AX85,AX90))</f>
        <v>0.35746514475068053</v>
      </c>
      <c r="AZ98">
        <f t="shared" si="37"/>
        <v>8.4784381589262487</v>
      </c>
      <c r="BA98">
        <f t="shared" si="38"/>
        <v>1.4675510457455387</v>
      </c>
      <c r="BB98">
        <f t="shared" si="39"/>
        <v>4.5939412017349905</v>
      </c>
      <c r="BC98">
        <f>[1]!QDIST(AZ98,COUNT($AX$85:$AX$90),AZ$91)</f>
        <v>4.6218885225379758E-5</v>
      </c>
      <c r="BD98">
        <f t="shared" si="40"/>
        <v>1.5631950779947261</v>
      </c>
      <c r="BE98" s="30">
        <f t="shared" si="41"/>
        <v>3.7916728132774518</v>
      </c>
    </row>
    <row r="99" spans="16:57" x14ac:dyDescent="0.25">
      <c r="P99" s="29" t="s">
        <v>157</v>
      </c>
      <c r="Q99">
        <f>Q101-Q100</f>
        <v>70.993607615680617</v>
      </c>
      <c r="R99">
        <f>COUNTA(P91:P95)-1</f>
        <v>4</v>
      </c>
      <c r="S99">
        <f>Q99/R99</f>
        <v>17.748401903920154</v>
      </c>
      <c r="T99">
        <f>S99/S100</f>
        <v>3.5056471952230628</v>
      </c>
      <c r="U99">
        <f>_xlfn.F.DIST.RT(T99,R99,R100)</f>
        <v>2.5236436479917711E-2</v>
      </c>
      <c r="V99">
        <f>Q99/Q101</f>
        <v>0.41215525576841494</v>
      </c>
      <c r="W99">
        <f>SQRT(DEVSQ(S91:S95)/(S100*R99))</f>
        <v>0.83733472341985982</v>
      </c>
      <c r="X99">
        <f>(Q101-R101*S100)/(Q101+S100)</f>
        <v>0.28617498391096691</v>
      </c>
      <c r="Z99" t="str">
        <f>Z89</f>
        <v>0 ng/mL</v>
      </c>
      <c r="AA99" t="str">
        <f>Z92</f>
        <v>15 ng/mL</v>
      </c>
      <c r="AB99">
        <f>ABS(AA89-AA92)</f>
        <v>1.8959114074748347</v>
      </c>
      <c r="AC99">
        <f>SQRT(AC94/AD94/HARMEAN(AB89,AB92))</f>
        <v>1.0062607235493959</v>
      </c>
      <c r="AD99">
        <f t="shared" si="42"/>
        <v>1.8841154813112082</v>
      </c>
      <c r="AE99">
        <f t="shared" si="43"/>
        <v>-2.3625839745862085</v>
      </c>
      <c r="AF99">
        <f t="shared" si="44"/>
        <v>6.1544067895358783</v>
      </c>
      <c r="AG99">
        <f>[1]!QDIST(AD99,COUNT($AB$89:$AB$93),AD$94)</f>
        <v>0.67519355107952894</v>
      </c>
      <c r="AH99">
        <f t="shared" si="45"/>
        <v>4.2584953820610432</v>
      </c>
      <c r="AI99" s="30">
        <f t="shared" si="46"/>
        <v>0.84260205873431915</v>
      </c>
      <c r="AL99" s="29"/>
      <c r="AV99">
        <f>AV86</f>
        <v>10</v>
      </c>
      <c r="AW99" s="34">
        <f>AV87</f>
        <v>20</v>
      </c>
      <c r="AX99">
        <f>ABS(AW86-AW87)</f>
        <v>0.36386972643559412</v>
      </c>
      <c r="AY99">
        <f>SQRT(AY91/AZ91/HARMEAN(AX86,AX87))</f>
        <v>0.35746514475068053</v>
      </c>
      <c r="AZ99">
        <f t="shared" si="37"/>
        <v>1.0179166606282146</v>
      </c>
      <c r="BA99">
        <f t="shared" si="38"/>
        <v>-1.199325351559132</v>
      </c>
      <c r="BB99">
        <f t="shared" si="39"/>
        <v>1.9270648044303202</v>
      </c>
      <c r="BC99" s="34">
        <f>[1]!QDIST(AZ99,COUNT($AX$85:$AX$90),AZ$91)</f>
        <v>0.97758000681716162</v>
      </c>
      <c r="BD99">
        <f t="shared" si="40"/>
        <v>1.5631950779947261</v>
      </c>
      <c r="BE99" s="30">
        <f t="shared" si="41"/>
        <v>0.45522616971885443</v>
      </c>
    </row>
    <row r="100" spans="16:57" x14ac:dyDescent="0.25">
      <c r="P100" s="29" t="s">
        <v>158</v>
      </c>
      <c r="Q100">
        <f>SUM(U91:U95)</f>
        <v>101.25606437581538</v>
      </c>
      <c r="R100">
        <f>R101-R99</f>
        <v>20</v>
      </c>
      <c r="S100">
        <f>Q100/R100</f>
        <v>5.0628032187907692</v>
      </c>
      <c r="Z100" t="str">
        <f>Z89</f>
        <v>0 ng/mL</v>
      </c>
      <c r="AA100" t="str">
        <f>Z93</f>
        <v>20 ng/mL</v>
      </c>
      <c r="AB100">
        <f>ABS(AA89-AA93)</f>
        <v>0.96835515831968033</v>
      </c>
      <c r="AC100">
        <f>SQRT(AC94/AD94/HARMEAN(AB89,AB93))</f>
        <v>1.0062607235493959</v>
      </c>
      <c r="AD100">
        <f t="shared" si="42"/>
        <v>0.96233027450777286</v>
      </c>
      <c r="AE100">
        <f t="shared" si="43"/>
        <v>-3.2901402237413628</v>
      </c>
      <c r="AF100">
        <f t="shared" si="44"/>
        <v>5.2268505403807239</v>
      </c>
      <c r="AG100">
        <f>[1]!QDIST(AD100,COUNT($AB$89:$AB$93),AD$94)</f>
        <v>0.95842957790732786</v>
      </c>
      <c r="AH100">
        <f t="shared" si="45"/>
        <v>4.2584953820610432</v>
      </c>
      <c r="AI100" s="30">
        <f t="shared" si="46"/>
        <v>0.4303671821210826</v>
      </c>
      <c r="AL100" s="29"/>
      <c r="AV100">
        <f>AV86</f>
        <v>10</v>
      </c>
      <c r="AW100">
        <f>AV88</f>
        <v>30</v>
      </c>
      <c r="AX100">
        <f>ABS(AW86-AW88)</f>
        <v>1.2744778537433163</v>
      </c>
      <c r="AY100">
        <f>SQRT(AY91/AZ91/HARMEAN(AX86,AX88))</f>
        <v>0.35746514475068053</v>
      </c>
      <c r="AZ100">
        <f t="shared" si="37"/>
        <v>3.5653206262451693</v>
      </c>
      <c r="BA100">
        <f t="shared" si="38"/>
        <v>-0.28871722425140978</v>
      </c>
      <c r="BB100">
        <f t="shared" si="39"/>
        <v>2.8376729317380427</v>
      </c>
      <c r="BC100">
        <f>[1]!QDIST(AZ100,COUNT($AX$85:$AX$90),AZ$91)</f>
        <v>0.15748611200883589</v>
      </c>
      <c r="BD100">
        <f t="shared" si="40"/>
        <v>1.5631950779947261</v>
      </c>
      <c r="BE100" s="30">
        <f t="shared" si="41"/>
        <v>1.5944598563732639</v>
      </c>
    </row>
    <row r="101" spans="16:57" x14ac:dyDescent="0.25">
      <c r="P101" s="42" t="s">
        <v>159</v>
      </c>
      <c r="Q101" s="23">
        <f>DEVSQ(J35:N39)</f>
        <v>172.249671991496</v>
      </c>
      <c r="R101" s="23">
        <f>COUNT(J35:N39)-1</f>
        <v>24</v>
      </c>
      <c r="S101" s="23">
        <f>Q101/R101</f>
        <v>7.1770696663123337</v>
      </c>
      <c r="T101" s="23"/>
      <c r="U101" s="23"/>
      <c r="V101" s="23"/>
      <c r="W101" s="23"/>
      <c r="X101" s="23"/>
      <c r="Z101" t="str">
        <f>Z90</f>
        <v>5 ng/mL</v>
      </c>
      <c r="AA101" s="34" t="str">
        <f>Z91</f>
        <v>10 ng/mL</v>
      </c>
      <c r="AB101">
        <f>ABS(AA90-AA91)</f>
        <v>4.6487596166450427</v>
      </c>
      <c r="AC101">
        <f>SQRT(AC94/AD94/HARMEAN(AB90,AB91))</f>
        <v>1.0062607235493959</v>
      </c>
      <c r="AD101">
        <f t="shared" si="42"/>
        <v>4.6198360999795511</v>
      </c>
      <c r="AE101">
        <f t="shared" si="43"/>
        <v>0.3902642345839995</v>
      </c>
      <c r="AF101">
        <f t="shared" si="44"/>
        <v>8.9072549987060867</v>
      </c>
      <c r="AG101" s="34">
        <f>[1]!QDIST(AD101,COUNT($AB$89:$AB$93),AD$94)</f>
        <v>2.8193070298581535E-2</v>
      </c>
      <c r="AH101">
        <f t="shared" si="45"/>
        <v>4.2584953820610432</v>
      </c>
      <c r="AI101" s="30">
        <f t="shared" si="46"/>
        <v>2.0660535128923581</v>
      </c>
      <c r="AL101" s="29"/>
      <c r="AV101">
        <f>AV86</f>
        <v>10</v>
      </c>
      <c r="AW101">
        <f>AV89</f>
        <v>60</v>
      </c>
      <c r="AX101">
        <f>ABS(AW86-AW89)</f>
        <v>1.2337978227132365</v>
      </c>
      <c r="AY101">
        <f>SQRT(AY91/AZ91/HARMEAN(AX86,AX89))</f>
        <v>0.35746514475068053</v>
      </c>
      <c r="AZ101">
        <f t="shared" si="37"/>
        <v>3.4515192343403647</v>
      </c>
      <c r="BA101">
        <f t="shared" si="38"/>
        <v>-0.32939725528148966</v>
      </c>
      <c r="BB101">
        <f t="shared" si="39"/>
        <v>2.7969929007079628</v>
      </c>
      <c r="BC101">
        <f>[1]!QDIST(AZ101,COUNT($AX$85:$AX$90),AZ$91)</f>
        <v>0.18226260191707189</v>
      </c>
      <c r="BD101">
        <f t="shared" si="40"/>
        <v>1.5631950779947261</v>
      </c>
      <c r="BE101" s="30">
        <f t="shared" si="41"/>
        <v>1.5435663267266164</v>
      </c>
    </row>
    <row r="102" spans="16:57" x14ac:dyDescent="0.25">
      <c r="P102" s="29"/>
      <c r="Z102" t="str">
        <f>Z90</f>
        <v>5 ng/mL</v>
      </c>
      <c r="AA102" t="str">
        <f>Z92</f>
        <v>15 ng/mL</v>
      </c>
      <c r="AB102">
        <f>ABS(AA90-AA92)</f>
        <v>2.1123802118659114</v>
      </c>
      <c r="AC102">
        <f>SQRT(AC94/AD94/HARMEAN(AB90,AB92))</f>
        <v>1.0062607235493959</v>
      </c>
      <c r="AD102">
        <f t="shared" si="42"/>
        <v>2.0992374664240958</v>
      </c>
      <c r="AE102">
        <f t="shared" si="43"/>
        <v>-2.1461151701951318</v>
      </c>
      <c r="AF102">
        <f t="shared" si="44"/>
        <v>6.3708755939269546</v>
      </c>
      <c r="AG102">
        <f>[1]!QDIST(AD102,COUNT($AB$89:$AB$93),AD$94)</f>
        <v>0.58361984086990371</v>
      </c>
      <c r="AH102">
        <f t="shared" si="45"/>
        <v>4.2584953820610432</v>
      </c>
      <c r="AI102" s="30">
        <f t="shared" si="46"/>
        <v>0.93880753516774207</v>
      </c>
      <c r="AL102" s="29"/>
      <c r="AV102">
        <f>AV86</f>
        <v>10</v>
      </c>
      <c r="AW102">
        <f>AV90</f>
        <v>90</v>
      </c>
      <c r="AX102">
        <f>ABS(AW86-AW90)</f>
        <v>2.6730184107287265</v>
      </c>
      <c r="AY102">
        <f>SQRT(AY91/AZ91/HARMEAN(AX86,AX90))</f>
        <v>0.35746514475068053</v>
      </c>
      <c r="AZ102">
        <f t="shared" si="37"/>
        <v>7.4777036306380689</v>
      </c>
      <c r="BA102">
        <f t="shared" si="38"/>
        <v>1.1098233327340004</v>
      </c>
      <c r="BB102">
        <f t="shared" si="39"/>
        <v>4.2362134887234522</v>
      </c>
      <c r="BC102">
        <f>[1]!QDIST(AZ102,COUNT($AX$85:$AX$90),AZ$91)</f>
        <v>2.6178173046909059E-4</v>
      </c>
      <c r="BD102">
        <f t="shared" si="40"/>
        <v>1.5631950779947261</v>
      </c>
      <c r="BE102" s="30">
        <f t="shared" si="41"/>
        <v>3.3441307267407403</v>
      </c>
    </row>
    <row r="103" spans="16:57" x14ac:dyDescent="0.25">
      <c r="P103" s="29"/>
      <c r="Z103" t="str">
        <f>Z90</f>
        <v>5 ng/mL</v>
      </c>
      <c r="AA103" t="str">
        <f>Z93</f>
        <v>20 ng/mL</v>
      </c>
      <c r="AB103">
        <f>ABS(AA90-AA93)</f>
        <v>1.1848239627107571</v>
      </c>
      <c r="AC103">
        <f>SQRT(AC94/AD94/HARMEAN(AB90,AB93))</f>
        <v>1.0062607235493959</v>
      </c>
      <c r="AD103">
        <f t="shared" si="42"/>
        <v>1.1774522596206607</v>
      </c>
      <c r="AE103">
        <f t="shared" si="43"/>
        <v>-3.0736714193502861</v>
      </c>
      <c r="AF103">
        <f t="shared" si="44"/>
        <v>5.4433193447718002</v>
      </c>
      <c r="AG103">
        <f>[1]!QDIST(AD103,COUNT($AB$89:$AB$93),AD$94)</f>
        <v>0.91728037785035266</v>
      </c>
      <c r="AH103">
        <f t="shared" si="45"/>
        <v>4.2584953820610432</v>
      </c>
      <c r="AI103" s="30">
        <f t="shared" si="46"/>
        <v>0.52657265855450552</v>
      </c>
      <c r="AL103" s="29"/>
      <c r="AV103" s="34">
        <f>AV87</f>
        <v>20</v>
      </c>
      <c r="AW103">
        <f>AV88</f>
        <v>30</v>
      </c>
      <c r="AX103">
        <f>ABS(AW87-AW88)</f>
        <v>0.91060812730772223</v>
      </c>
      <c r="AY103">
        <f>SQRT(AY91/AZ91/HARMEAN(AX87,AX88))</f>
        <v>0.35746514475068053</v>
      </c>
      <c r="AZ103">
        <f t="shared" si="37"/>
        <v>2.5474039656169545</v>
      </c>
      <c r="BA103">
        <f t="shared" si="38"/>
        <v>-0.6525869506870039</v>
      </c>
      <c r="BB103">
        <f t="shared" si="39"/>
        <v>2.4738032053024481</v>
      </c>
      <c r="BC103" s="34">
        <f>[1]!QDIST(AZ103,COUNT($AX$85:$AX$90),AZ$91)</f>
        <v>0.48353912793562814</v>
      </c>
      <c r="BD103">
        <f t="shared" si="40"/>
        <v>1.5631950779947261</v>
      </c>
      <c r="BE103" s="30">
        <f t="shared" si="41"/>
        <v>1.1392336866544095</v>
      </c>
    </row>
    <row r="104" spans="16:57" x14ac:dyDescent="0.25">
      <c r="P104" s="29"/>
      <c r="Z104" s="34" t="str">
        <f>Z91</f>
        <v>10 ng/mL</v>
      </c>
      <c r="AA104" t="str">
        <f>Z92</f>
        <v>15 ng/mL</v>
      </c>
      <c r="AB104">
        <f>ABS(AA91-AA92)</f>
        <v>2.5363794047791313</v>
      </c>
      <c r="AC104">
        <f>SQRT(AC94/AD94/HARMEAN(AB91,AB92))</f>
        <v>1.0062607235493959</v>
      </c>
      <c r="AD104">
        <f t="shared" si="42"/>
        <v>2.5205986335554553</v>
      </c>
      <c r="AE104">
        <f t="shared" si="43"/>
        <v>-1.7221159772819119</v>
      </c>
      <c r="AF104">
        <f t="shared" si="44"/>
        <v>6.7948747868401744</v>
      </c>
      <c r="AG104" s="34">
        <f>[1]!QDIST(AD104,COUNT($AB$89:$AB$93),AD$94)</f>
        <v>0.41034364887820063</v>
      </c>
      <c r="AH104">
        <f t="shared" si="45"/>
        <v>4.2584953820610432</v>
      </c>
      <c r="AI104" s="30">
        <f t="shared" si="46"/>
        <v>1.1272459777246162</v>
      </c>
      <c r="AL104" s="29"/>
      <c r="AV104" s="34">
        <f>AV87</f>
        <v>20</v>
      </c>
      <c r="AW104">
        <f>AV89</f>
        <v>60</v>
      </c>
      <c r="AX104">
        <f>ABS(AW87-AW89)</f>
        <v>0.86992809627764234</v>
      </c>
      <c r="AY104">
        <f>SQRT(AY91/AZ91/HARMEAN(AX87,AX89))</f>
        <v>0.35746514475068053</v>
      </c>
      <c r="AZ104">
        <f t="shared" si="37"/>
        <v>2.4336025737121498</v>
      </c>
      <c r="BA104">
        <f t="shared" si="38"/>
        <v>-0.69326698171708379</v>
      </c>
      <c r="BB104">
        <f t="shared" si="39"/>
        <v>2.4331231742723682</v>
      </c>
      <c r="BC104" s="34">
        <f>[1]!QDIST(AZ104,COUNT($AX$85:$AX$90),AZ$91)</f>
        <v>0.53207762753501919</v>
      </c>
      <c r="BD104">
        <f t="shared" si="40"/>
        <v>1.5631950779947261</v>
      </c>
      <c r="BE104" s="30">
        <f t="shared" si="41"/>
        <v>1.088340157007762</v>
      </c>
    </row>
    <row r="105" spans="16:57" x14ac:dyDescent="0.25">
      <c r="P105" s="29"/>
      <c r="Z105" s="34" t="str">
        <f>Z91</f>
        <v>10 ng/mL</v>
      </c>
      <c r="AA105" t="str">
        <f>Z93</f>
        <v>20 ng/mL</v>
      </c>
      <c r="AB105">
        <f>ABS(AA91-AA93)</f>
        <v>3.4639356539342856</v>
      </c>
      <c r="AC105">
        <f>SQRT(AC94/AD94/HARMEAN(AB91,AB93))</f>
        <v>1.0062607235493959</v>
      </c>
      <c r="AD105">
        <f t="shared" si="42"/>
        <v>3.4423838403588909</v>
      </c>
      <c r="AE105">
        <f t="shared" si="43"/>
        <v>-0.79455972812675757</v>
      </c>
      <c r="AF105">
        <f t="shared" si="44"/>
        <v>7.7224310359953288</v>
      </c>
      <c r="AG105" s="34">
        <f>[1]!QDIST(AD105,COUNT($AB$89:$AB$93),AD$94)</f>
        <v>0.14692667222148192</v>
      </c>
      <c r="AH105">
        <f t="shared" si="45"/>
        <v>4.2584953820610432</v>
      </c>
      <c r="AI105" s="30">
        <f t="shared" si="46"/>
        <v>1.5394808543378526</v>
      </c>
      <c r="AL105" s="29"/>
      <c r="AV105" s="34">
        <f>AV87</f>
        <v>20</v>
      </c>
      <c r="AW105">
        <f>AV90</f>
        <v>90</v>
      </c>
      <c r="AX105">
        <f>ABS(AW87-AW90)</f>
        <v>2.3091486842931319</v>
      </c>
      <c r="AY105">
        <f>SQRT(AY91/AZ91/HARMEAN(AX87,AX90))</f>
        <v>0.35746514475068053</v>
      </c>
      <c r="AZ105">
        <f t="shared" si="37"/>
        <v>6.4597869700098522</v>
      </c>
      <c r="BA105">
        <f t="shared" si="38"/>
        <v>0.74595360629840579</v>
      </c>
      <c r="BB105">
        <f t="shared" si="39"/>
        <v>3.872343762287858</v>
      </c>
      <c r="BC105" s="34">
        <f>[1]!QDIST(AZ105,COUNT($AX$85:$AX$90),AZ$91)</f>
        <v>1.5506184691700398E-3</v>
      </c>
      <c r="BD105">
        <f t="shared" si="40"/>
        <v>1.5631950779947261</v>
      </c>
      <c r="BE105" s="30">
        <f t="shared" si="41"/>
        <v>2.8889045570218856</v>
      </c>
    </row>
    <row r="106" spans="16:57" ht="15.75" thickBot="1" x14ac:dyDescent="0.3">
      <c r="P106" s="31"/>
      <c r="Q106" s="32"/>
      <c r="R106" s="32"/>
      <c r="S106" s="32"/>
      <c r="T106" s="32"/>
      <c r="U106" s="32"/>
      <c r="V106" s="32"/>
      <c r="W106" s="32"/>
      <c r="X106" s="32"/>
      <c r="Y106" s="32"/>
      <c r="Z106" s="32" t="str">
        <f>Z92</f>
        <v>15 ng/mL</v>
      </c>
      <c r="AA106" s="32" t="str">
        <f>Z93</f>
        <v>20 ng/mL</v>
      </c>
      <c r="AB106" s="32">
        <f>ABS(AA92-AA93)</f>
        <v>0.92755624915515433</v>
      </c>
      <c r="AC106" s="32">
        <f>SQRT(AC94/AD94/HARMEAN(AB92,AB93))</f>
        <v>1.0062607235493959</v>
      </c>
      <c r="AD106" s="32">
        <f t="shared" si="42"/>
        <v>0.92178520680343534</v>
      </c>
      <c r="AE106" s="32">
        <f t="shared" si="43"/>
        <v>-3.3309391329058888</v>
      </c>
      <c r="AF106" s="32">
        <f t="shared" si="44"/>
        <v>5.1860516312161975</v>
      </c>
      <c r="AG106" s="32">
        <f>[1]!QDIST(AD106,COUNT($AB$89:$AB$93),AD$94)</f>
        <v>0.96429431817449929</v>
      </c>
      <c r="AH106" s="32">
        <f t="shared" si="45"/>
        <v>4.2584953820610432</v>
      </c>
      <c r="AI106" s="33">
        <f t="shared" si="46"/>
        <v>0.41223487661323654</v>
      </c>
      <c r="AL106" s="29"/>
      <c r="AV106">
        <f>AV88</f>
        <v>30</v>
      </c>
      <c r="AW106">
        <f>AV89</f>
        <v>60</v>
      </c>
      <c r="AX106">
        <f>ABS(AW88-AW89)</f>
        <v>4.0680031030079888E-2</v>
      </c>
      <c r="AY106">
        <f>SQRT(AY91/AZ91/HARMEAN(AX88,AX89))</f>
        <v>0.35746514475068053</v>
      </c>
      <c r="AZ106">
        <f t="shared" si="37"/>
        <v>0.11380139190480457</v>
      </c>
      <c r="BA106">
        <f t="shared" si="38"/>
        <v>-1.5225150469646462</v>
      </c>
      <c r="BB106">
        <f t="shared" si="39"/>
        <v>1.603875109024806</v>
      </c>
      <c r="BC106">
        <f>[1]!QDIST(AZ106,COUNT($AX$85:$AX$90),AZ$91)</f>
        <v>0.99999945444879912</v>
      </c>
      <c r="BD106">
        <f t="shared" si="40"/>
        <v>1.5631950779947261</v>
      </c>
      <c r="BE106" s="30">
        <f t="shared" si="41"/>
        <v>5.0893529646647465E-2</v>
      </c>
    </row>
    <row r="107" spans="16:57" ht="15.75" thickBot="1" x14ac:dyDescent="0.3">
      <c r="AL107" s="29"/>
      <c r="AV107">
        <f>AV88</f>
        <v>30</v>
      </c>
      <c r="AW107">
        <f>AV90</f>
        <v>90</v>
      </c>
      <c r="AX107">
        <f>ABS(AW88-AW90)</f>
        <v>1.3985405569854099</v>
      </c>
      <c r="AY107">
        <f>SQRT(AY91/AZ91/HARMEAN(AX88,AX90))</f>
        <v>0.35746514475068053</v>
      </c>
      <c r="AZ107">
        <f t="shared" si="37"/>
        <v>3.9123830043928987</v>
      </c>
      <c r="BA107">
        <f t="shared" si="38"/>
        <v>-0.16465452100931621</v>
      </c>
      <c r="BB107">
        <f t="shared" si="39"/>
        <v>2.961735634980136</v>
      </c>
      <c r="BC107">
        <f>[1]!QDIST(AZ107,COUNT($AX$85:$AX$90),AZ$91)</f>
        <v>9.829299133903846E-2</v>
      </c>
      <c r="BD107">
        <f t="shared" si="40"/>
        <v>1.5631950779947261</v>
      </c>
      <c r="BE107" s="30">
        <f t="shared" si="41"/>
        <v>1.7496708703674761</v>
      </c>
    </row>
    <row r="108" spans="16:57" ht="15.75" thickBot="1" x14ac:dyDescent="0.3">
      <c r="P108" s="26" t="s">
        <v>182</v>
      </c>
      <c r="Q108" s="27"/>
      <c r="R108" s="27"/>
      <c r="S108" s="27"/>
      <c r="T108" s="27"/>
      <c r="U108" s="27"/>
      <c r="V108" s="27"/>
      <c r="W108" s="27"/>
      <c r="X108" s="27"/>
      <c r="Y108" s="27"/>
      <c r="Z108" s="27" t="s">
        <v>160</v>
      </c>
      <c r="AA108" s="27"/>
      <c r="AB108" s="27"/>
      <c r="AC108" s="27" t="s">
        <v>161</v>
      </c>
      <c r="AD108" s="27">
        <v>0.05</v>
      </c>
      <c r="AE108" s="27"/>
      <c r="AF108" s="27"/>
      <c r="AG108" s="27"/>
      <c r="AH108" s="27"/>
      <c r="AI108" s="28"/>
      <c r="AL108" s="31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>
        <f>AV89</f>
        <v>60</v>
      </c>
      <c r="AW108" s="32">
        <f>AV90</f>
        <v>90</v>
      </c>
      <c r="AX108" s="32">
        <f>ABS(AW89-AW90)</f>
        <v>1.4392205880154898</v>
      </c>
      <c r="AY108" s="32">
        <f>SQRT(AY91/AZ91/HARMEAN(AX89,AX90))</f>
        <v>0.35746514475068053</v>
      </c>
      <c r="AZ108" s="32">
        <f t="shared" si="37"/>
        <v>4.0261843962977029</v>
      </c>
      <c r="BA108" s="32">
        <f t="shared" si="38"/>
        <v>-0.12397448997923632</v>
      </c>
      <c r="BB108" s="32">
        <f t="shared" si="39"/>
        <v>3.0024156660102159</v>
      </c>
      <c r="BC108" s="32">
        <f>[1]!QDIST(AZ108,COUNT($AX$85:$AX$90),AZ$91)</f>
        <v>8.3575817277955267E-2</v>
      </c>
      <c r="BD108" s="32">
        <f t="shared" si="40"/>
        <v>1.5631950779947261</v>
      </c>
      <c r="BE108" s="33">
        <f t="shared" si="41"/>
        <v>1.8005644000141237</v>
      </c>
    </row>
    <row r="109" spans="16:57" ht="15.75" thickTop="1" x14ac:dyDescent="0.25">
      <c r="P109" s="29"/>
      <c r="Z109" s="36" t="s">
        <v>162</v>
      </c>
      <c r="AA109" s="36" t="s">
        <v>163</v>
      </c>
      <c r="AB109" s="36" t="s">
        <v>164</v>
      </c>
      <c r="AC109" s="36" t="s">
        <v>165</v>
      </c>
      <c r="AD109" s="36" t="s">
        <v>150</v>
      </c>
      <c r="AE109" s="36" t="s">
        <v>166</v>
      </c>
      <c r="AI109" s="30"/>
    </row>
    <row r="110" spans="16:57" ht="15.75" thickBot="1" x14ac:dyDescent="0.3">
      <c r="P110" s="29" t="s">
        <v>137</v>
      </c>
      <c r="U110" t="s">
        <v>138</v>
      </c>
      <c r="V110">
        <v>0.05</v>
      </c>
      <c r="Z110" t="s">
        <v>126</v>
      </c>
      <c r="AA110">
        <v>3.0623909654205845</v>
      </c>
      <c r="AB110">
        <v>5</v>
      </c>
      <c r="AC110">
        <v>16.585299028653356</v>
      </c>
      <c r="AI110" s="30"/>
    </row>
    <row r="111" spans="16:57" ht="15.75" thickTop="1" x14ac:dyDescent="0.25">
      <c r="P111" s="38" t="s">
        <v>139</v>
      </c>
      <c r="Q111" s="36" t="s">
        <v>140</v>
      </c>
      <c r="R111" s="36" t="s">
        <v>141</v>
      </c>
      <c r="S111" s="36" t="s">
        <v>142</v>
      </c>
      <c r="T111" s="36" t="s">
        <v>143</v>
      </c>
      <c r="U111" s="36" t="s">
        <v>144</v>
      </c>
      <c r="V111" s="36" t="s">
        <v>145</v>
      </c>
      <c r="W111" s="36" t="s">
        <v>146</v>
      </c>
      <c r="X111" s="36" t="s">
        <v>147</v>
      </c>
      <c r="Z111" t="s">
        <v>127</v>
      </c>
      <c r="AA111">
        <v>2.8459221610295078</v>
      </c>
      <c r="AB111">
        <v>5</v>
      </c>
      <c r="AC111">
        <v>6.2348766119999501</v>
      </c>
      <c r="AI111" s="30"/>
    </row>
    <row r="112" spans="16:57" x14ac:dyDescent="0.25">
      <c r="P112" s="29" t="s">
        <v>126</v>
      </c>
      <c r="Q112">
        <v>5</v>
      </c>
      <c r="R112">
        <v>15.311954827102923</v>
      </c>
      <c r="S112">
        <v>3.0623909654205845</v>
      </c>
      <c r="T112">
        <v>4.1463247571633364</v>
      </c>
      <c r="U112">
        <v>16.585299028653356</v>
      </c>
      <c r="V112">
        <v>0.88345281212742466</v>
      </c>
      <c r="W112">
        <v>1.2133029787032195</v>
      </c>
      <c r="X112">
        <v>4.9114789521379496</v>
      </c>
      <c r="Z112" t="s">
        <v>128</v>
      </c>
      <c r="AA112">
        <v>8.6589330737122481</v>
      </c>
      <c r="AB112">
        <v>4</v>
      </c>
      <c r="AC112">
        <v>11.702276152453329</v>
      </c>
      <c r="AI112" s="30"/>
    </row>
    <row r="113" spans="16:35" x14ac:dyDescent="0.25">
      <c r="P113" s="29" t="s">
        <v>127</v>
      </c>
      <c r="Q113">
        <v>5</v>
      </c>
      <c r="R113">
        <v>14.229610805147539</v>
      </c>
      <c r="S113">
        <v>2.8459221610295078</v>
      </c>
      <c r="T113">
        <v>1.5587191529999842</v>
      </c>
      <c r="U113">
        <v>6.2348766119999501</v>
      </c>
      <c r="V113">
        <v>0.88345281212742466</v>
      </c>
      <c r="W113">
        <v>0.99683417431214272</v>
      </c>
      <c r="X113">
        <v>4.6950101477468724</v>
      </c>
      <c r="Z113" t="s">
        <v>129</v>
      </c>
      <c r="AA113">
        <v>4.9583023728954192</v>
      </c>
      <c r="AB113">
        <v>5</v>
      </c>
      <c r="AC113">
        <v>30.627310918347856</v>
      </c>
      <c r="AI113" s="30"/>
    </row>
    <row r="114" spans="16:35" x14ac:dyDescent="0.25">
      <c r="P114" s="29" t="s">
        <v>128</v>
      </c>
      <c r="Q114">
        <v>4</v>
      </c>
      <c r="R114">
        <v>34.635732294848992</v>
      </c>
      <c r="S114">
        <v>8.6589330737122481</v>
      </c>
      <c r="T114">
        <v>3.9007587174844502</v>
      </c>
      <c r="U114">
        <v>11.702276152453329</v>
      </c>
      <c r="V114">
        <v>0.98773027141513603</v>
      </c>
      <c r="W114">
        <v>6.5915898563731199</v>
      </c>
      <c r="X114">
        <v>10.726276291051377</v>
      </c>
      <c r="Z114" t="s">
        <v>130</v>
      </c>
      <c r="AA114">
        <v>4.0307461237402649</v>
      </c>
      <c r="AB114">
        <v>5</v>
      </c>
      <c r="AC114">
        <v>8.9966800578516857</v>
      </c>
      <c r="AI114" s="30"/>
    </row>
    <row r="115" spans="16:35" x14ac:dyDescent="0.25">
      <c r="P115" s="29" t="s">
        <v>129</v>
      </c>
      <c r="Q115">
        <v>5</v>
      </c>
      <c r="R115">
        <v>24.791511864477098</v>
      </c>
      <c r="S115">
        <v>4.9583023728954192</v>
      </c>
      <c r="T115">
        <v>7.6568277295869649</v>
      </c>
      <c r="U115">
        <v>30.627310918347856</v>
      </c>
      <c r="V115">
        <v>0.88345281212742466</v>
      </c>
      <c r="W115">
        <v>3.1092143861780541</v>
      </c>
      <c r="X115">
        <v>6.8073903596127838</v>
      </c>
      <c r="Z115" s="37"/>
      <c r="AA115" s="37"/>
      <c r="AB115" s="37">
        <v>24</v>
      </c>
      <c r="AC115" s="37">
        <v>74.146442769306191</v>
      </c>
      <c r="AD115" s="37">
        <v>19</v>
      </c>
      <c r="AE115" s="37">
        <v>4.2530000000000001</v>
      </c>
      <c r="AI115" s="30"/>
    </row>
    <row r="116" spans="16:35" ht="15.75" thickBot="1" x14ac:dyDescent="0.3">
      <c r="P116" s="29" t="s">
        <v>130</v>
      </c>
      <c r="Q116">
        <v>5</v>
      </c>
      <c r="R116">
        <v>20.153730618701324</v>
      </c>
      <c r="S116">
        <v>4.0307461237402649</v>
      </c>
      <c r="T116">
        <v>2.2491700144629121</v>
      </c>
      <c r="U116">
        <v>8.9966800578516857</v>
      </c>
      <c r="V116">
        <v>0.88345281212742466</v>
      </c>
      <c r="W116">
        <v>2.1816581370228998</v>
      </c>
      <c r="X116">
        <v>5.8798341104576295</v>
      </c>
      <c r="Z116" t="s">
        <v>167</v>
      </c>
      <c r="AI116" s="30"/>
    </row>
    <row r="117" spans="16:35" ht="15.75" thickTop="1" x14ac:dyDescent="0.25">
      <c r="P117" s="39"/>
      <c r="Q117" s="37"/>
      <c r="R117" s="37"/>
      <c r="S117" s="37"/>
      <c r="T117" s="37"/>
      <c r="U117" s="37"/>
      <c r="V117" s="37"/>
      <c r="W117" s="37"/>
      <c r="X117" s="37"/>
      <c r="Z117" s="36" t="s">
        <v>168</v>
      </c>
      <c r="AA117" s="36" t="s">
        <v>169</v>
      </c>
      <c r="AB117" s="36" t="s">
        <v>163</v>
      </c>
      <c r="AC117" s="36" t="s">
        <v>170</v>
      </c>
      <c r="AD117" s="36" t="s">
        <v>171</v>
      </c>
      <c r="AE117" s="36" t="s">
        <v>172</v>
      </c>
      <c r="AF117" s="36" t="s">
        <v>173</v>
      </c>
      <c r="AG117" s="36" t="s">
        <v>174</v>
      </c>
      <c r="AH117" s="36" t="s">
        <v>175</v>
      </c>
      <c r="AI117" s="40" t="s">
        <v>176</v>
      </c>
    </row>
    <row r="118" spans="16:35" ht="15.75" thickBot="1" x14ac:dyDescent="0.3">
      <c r="P118" s="29" t="s">
        <v>148</v>
      </c>
      <c r="Z118" s="37" t="s">
        <v>126</v>
      </c>
      <c r="AA118" s="37" t="s">
        <v>127</v>
      </c>
      <c r="AB118" s="37">
        <v>0.21646880439107674</v>
      </c>
      <c r="AC118" s="37">
        <v>0.88345281212742466</v>
      </c>
      <c r="AD118" s="37">
        <v>0.24502588188021343</v>
      </c>
      <c r="AE118" s="37">
        <v>-3.5408560055868605</v>
      </c>
      <c r="AF118" s="37">
        <v>3.973793614369014</v>
      </c>
      <c r="AG118" s="37">
        <v>0.99977813433802587</v>
      </c>
      <c r="AH118" s="37">
        <v>3.7573248099779373</v>
      </c>
      <c r="AI118" s="41">
        <v>0.10957890562619826</v>
      </c>
    </row>
    <row r="119" spans="16:35" ht="15.75" thickTop="1" x14ac:dyDescent="0.25">
      <c r="P119" s="38" t="s">
        <v>149</v>
      </c>
      <c r="Q119" s="36" t="s">
        <v>144</v>
      </c>
      <c r="R119" s="36" t="s">
        <v>150</v>
      </c>
      <c r="S119" s="36" t="s">
        <v>151</v>
      </c>
      <c r="T119" s="36" t="s">
        <v>152</v>
      </c>
      <c r="U119" s="36" t="s">
        <v>153</v>
      </c>
      <c r="V119" s="36" t="s">
        <v>154</v>
      </c>
      <c r="W119" s="36" t="s">
        <v>155</v>
      </c>
      <c r="X119" s="36" t="s">
        <v>156</v>
      </c>
      <c r="Z119" t="s">
        <v>126</v>
      </c>
      <c r="AA119" s="34" t="s">
        <v>128</v>
      </c>
      <c r="AB119">
        <v>5.5965421082916631</v>
      </c>
      <c r="AC119">
        <v>0.93704321147044034</v>
      </c>
      <c r="AD119">
        <v>5.9725549897633616</v>
      </c>
      <c r="AE119">
        <v>1.6112973299078801</v>
      </c>
      <c r="AF119">
        <v>9.5817868866754452</v>
      </c>
      <c r="AG119" s="34">
        <v>3.7207301629416101E-3</v>
      </c>
      <c r="AH119">
        <v>3.985244778383783</v>
      </c>
      <c r="AI119" s="30">
        <v>2.8330315827383794</v>
      </c>
    </row>
    <row r="120" spans="16:35" x14ac:dyDescent="0.25">
      <c r="P120" s="29" t="s">
        <v>157</v>
      </c>
      <c r="Q120">
        <v>95.299060701261027</v>
      </c>
      <c r="R120">
        <v>4</v>
      </c>
      <c r="S120">
        <v>23.824765175315257</v>
      </c>
      <c r="T120">
        <v>6.1050877348141412</v>
      </c>
      <c r="U120">
        <v>2.4681114549383351E-3</v>
      </c>
      <c r="V120">
        <v>0.56241717100397726</v>
      </c>
      <c r="W120">
        <v>1.1954114753670328</v>
      </c>
      <c r="X120">
        <v>0.45970710513252711</v>
      </c>
      <c r="Z120" t="s">
        <v>126</v>
      </c>
      <c r="AA120" t="s">
        <v>129</v>
      </c>
      <c r="AB120">
        <v>1.8959114074748347</v>
      </c>
      <c r="AC120">
        <v>0.88345281212742466</v>
      </c>
      <c r="AD120">
        <v>2.14602453175663</v>
      </c>
      <c r="AE120">
        <v>-1.8614134025031026</v>
      </c>
      <c r="AF120">
        <v>5.6532362174527719</v>
      </c>
      <c r="AG120">
        <v>0.5642488495581921</v>
      </c>
      <c r="AH120">
        <v>3.7573248099779373</v>
      </c>
      <c r="AI120" s="30">
        <v>0.95973134687799644</v>
      </c>
    </row>
    <row r="121" spans="16:35" x14ac:dyDescent="0.25">
      <c r="P121" s="29" t="s">
        <v>158</v>
      </c>
      <c r="Q121">
        <v>74.146442769306191</v>
      </c>
      <c r="R121">
        <v>19</v>
      </c>
      <c r="S121">
        <v>3.9024443562792732</v>
      </c>
      <c r="Z121" t="s">
        <v>126</v>
      </c>
      <c r="AA121" t="s">
        <v>130</v>
      </c>
      <c r="AB121">
        <v>0.96835515831968033</v>
      </c>
      <c r="AC121">
        <v>0.88345281212742466</v>
      </c>
      <c r="AD121">
        <v>1.0961028648353091</v>
      </c>
      <c r="AE121">
        <v>-2.7889696516582569</v>
      </c>
      <c r="AF121">
        <v>4.7256799682976176</v>
      </c>
      <c r="AG121">
        <v>0.93471918169479273</v>
      </c>
      <c r="AH121">
        <v>3.7573248099779373</v>
      </c>
      <c r="AI121" s="30">
        <v>0.49019210322080309</v>
      </c>
    </row>
    <row r="122" spans="16:35" x14ac:dyDescent="0.25">
      <c r="P122" s="42" t="s">
        <v>159</v>
      </c>
      <c r="Q122" s="23">
        <v>169.44550347056722</v>
      </c>
      <c r="R122" s="23">
        <v>23</v>
      </c>
      <c r="S122" s="23">
        <v>7.3671958030681397</v>
      </c>
      <c r="T122" s="23"/>
      <c r="U122" s="23"/>
      <c r="V122" s="23"/>
      <c r="W122" s="23"/>
      <c r="X122" s="23"/>
      <c r="Z122" t="s">
        <v>127</v>
      </c>
      <c r="AA122" s="34" t="s">
        <v>128</v>
      </c>
      <c r="AB122">
        <v>5.8130109126827403</v>
      </c>
      <c r="AC122">
        <v>0.93704321147044034</v>
      </c>
      <c r="AD122">
        <v>6.2035676066216459</v>
      </c>
      <c r="AE122">
        <v>1.8277661342989573</v>
      </c>
      <c r="AF122">
        <v>9.7982556910665224</v>
      </c>
      <c r="AG122" s="34">
        <v>2.5969029051332582E-3</v>
      </c>
      <c r="AH122">
        <v>3.985244778383783</v>
      </c>
      <c r="AI122" s="30">
        <v>2.9426104883645778</v>
      </c>
    </row>
    <row r="123" spans="16:35" x14ac:dyDescent="0.25">
      <c r="P123" s="29"/>
      <c r="Z123" t="s">
        <v>127</v>
      </c>
      <c r="AA123" t="s">
        <v>129</v>
      </c>
      <c r="AB123">
        <v>2.1123802118659114</v>
      </c>
      <c r="AC123">
        <v>0.88345281212742466</v>
      </c>
      <c r="AD123">
        <v>2.3910504136368438</v>
      </c>
      <c r="AE123">
        <v>-1.6449445981120259</v>
      </c>
      <c r="AF123">
        <v>5.8697050218438491</v>
      </c>
      <c r="AG123">
        <v>0.46244246842572778</v>
      </c>
      <c r="AH123">
        <v>3.7573248099779373</v>
      </c>
      <c r="AI123" s="30">
        <v>1.0693102525041946</v>
      </c>
    </row>
    <row r="124" spans="16:35" x14ac:dyDescent="0.25">
      <c r="P124" s="29"/>
      <c r="Z124" t="s">
        <v>127</v>
      </c>
      <c r="AA124" t="s">
        <v>130</v>
      </c>
      <c r="AB124">
        <v>1.1848239627107571</v>
      </c>
      <c r="AC124">
        <v>0.88345281212742466</v>
      </c>
      <c r="AD124">
        <v>1.3411287467155226</v>
      </c>
      <c r="AE124">
        <v>-2.5725008472671802</v>
      </c>
      <c r="AF124">
        <v>4.9421487726886948</v>
      </c>
      <c r="AG124">
        <v>0.87428766087815202</v>
      </c>
      <c r="AH124">
        <v>3.7573248099779373</v>
      </c>
      <c r="AI124" s="30">
        <v>0.59977100884700141</v>
      </c>
    </row>
    <row r="125" spans="16:35" x14ac:dyDescent="0.25">
      <c r="P125" s="29"/>
      <c r="Z125" s="34" t="s">
        <v>128</v>
      </c>
      <c r="AA125" t="s">
        <v>129</v>
      </c>
      <c r="AB125">
        <v>3.7006307008168289</v>
      </c>
      <c r="AC125">
        <v>0.93704321147044034</v>
      </c>
      <c r="AD125">
        <v>3.9492636577662967</v>
      </c>
      <c r="AE125">
        <v>-0.28461407756695412</v>
      </c>
      <c r="AF125">
        <v>7.6858754792006119</v>
      </c>
      <c r="AG125" s="34">
        <v>7.6462402842384258E-2</v>
      </c>
      <c r="AH125">
        <v>3.985244778383783</v>
      </c>
      <c r="AI125" s="30">
        <v>1.8733002358603832</v>
      </c>
    </row>
    <row r="126" spans="16:35" x14ac:dyDescent="0.25">
      <c r="P126" s="29"/>
      <c r="Z126" s="34" t="s">
        <v>128</v>
      </c>
      <c r="AA126" t="s">
        <v>130</v>
      </c>
      <c r="AB126">
        <v>4.6281869499719832</v>
      </c>
      <c r="AC126">
        <v>0.93704321147044034</v>
      </c>
      <c r="AD126">
        <v>4.9391392982926297</v>
      </c>
      <c r="AE126">
        <v>0.64294217158820022</v>
      </c>
      <c r="AF126">
        <v>8.6134317283557671</v>
      </c>
      <c r="AG126" s="34">
        <v>1.8227040579638976E-2</v>
      </c>
      <c r="AH126">
        <v>3.985244778383783</v>
      </c>
      <c r="AI126" s="30">
        <v>2.3428394795175764</v>
      </c>
    </row>
    <row r="127" spans="16:35" ht="15.75" thickBot="1" x14ac:dyDescent="0.3">
      <c r="P127" s="31"/>
      <c r="Q127" s="32"/>
      <c r="R127" s="32"/>
      <c r="S127" s="32"/>
      <c r="T127" s="32"/>
      <c r="U127" s="32"/>
      <c r="V127" s="32"/>
      <c r="W127" s="32"/>
      <c r="X127" s="32"/>
      <c r="Y127" s="32"/>
      <c r="Z127" s="32" t="s">
        <v>129</v>
      </c>
      <c r="AA127" s="32" t="s">
        <v>130</v>
      </c>
      <c r="AB127" s="32">
        <v>0.92755624915515433</v>
      </c>
      <c r="AC127" s="32">
        <v>0.88345281212742466</v>
      </c>
      <c r="AD127" s="32">
        <v>1.0499216669213209</v>
      </c>
      <c r="AE127" s="32">
        <v>-2.8297685608227829</v>
      </c>
      <c r="AF127" s="32">
        <v>4.6848810591330921</v>
      </c>
      <c r="AG127" s="32">
        <v>0.94360927529363159</v>
      </c>
      <c r="AH127" s="32">
        <v>3.7573248099779373</v>
      </c>
      <c r="AI127" s="33">
        <v>0.46953924365719329</v>
      </c>
    </row>
  </sheetData>
  <mergeCells count="10">
    <mergeCell ref="A1:G1"/>
    <mergeCell ref="A9:G9"/>
    <mergeCell ref="A17:G17"/>
    <mergeCell ref="A25:G25"/>
    <mergeCell ref="A33:G33"/>
    <mergeCell ref="J1:N1"/>
    <mergeCell ref="J9:N9"/>
    <mergeCell ref="J17:N17"/>
    <mergeCell ref="J25:N25"/>
    <mergeCell ref="J33:N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9862-B493-4807-8C30-9F0046B67BEB}">
  <dimension ref="A1:M21"/>
  <sheetViews>
    <sheetView tabSelected="1" workbookViewId="0">
      <selection activeCell="M5" sqref="M5"/>
    </sheetView>
  </sheetViews>
  <sheetFormatPr defaultRowHeight="15" x14ac:dyDescent="0.25"/>
  <cols>
    <col min="2" max="5" width="9.42578125" bestFit="1" customWidth="1"/>
  </cols>
  <sheetData>
    <row r="1" spans="1:13" x14ac:dyDescent="0.25">
      <c r="A1" s="50" t="s">
        <v>186</v>
      </c>
      <c r="B1" s="50"/>
      <c r="C1" s="50"/>
      <c r="D1" s="50"/>
      <c r="E1" s="50"/>
      <c r="G1" s="50" t="s">
        <v>190</v>
      </c>
      <c r="H1" s="50"/>
      <c r="I1" s="50"/>
      <c r="J1" s="50"/>
      <c r="K1" s="50"/>
    </row>
    <row r="2" spans="1:13" x14ac:dyDescent="0.25">
      <c r="A2" s="50" t="s">
        <v>187</v>
      </c>
      <c r="B2" s="50"/>
      <c r="C2" s="50"/>
      <c r="D2" s="50"/>
      <c r="E2" s="50"/>
      <c r="G2" s="50" t="s">
        <v>187</v>
      </c>
      <c r="H2" s="50"/>
      <c r="I2" s="50"/>
      <c r="J2" s="50"/>
      <c r="K2" s="50"/>
      <c r="M2" t="s">
        <v>210</v>
      </c>
    </row>
    <row r="3" spans="1:13" x14ac:dyDescent="0.25">
      <c r="B3">
        <v>1</v>
      </c>
      <c r="C3">
        <v>2</v>
      </c>
      <c r="D3">
        <v>6</v>
      </c>
      <c r="E3">
        <v>10</v>
      </c>
      <c r="H3">
        <v>1</v>
      </c>
      <c r="I3">
        <v>2</v>
      </c>
      <c r="J3">
        <v>6</v>
      </c>
      <c r="K3">
        <v>10</v>
      </c>
    </row>
    <row r="4" spans="1:13" x14ac:dyDescent="0.25">
      <c r="A4">
        <v>1</v>
      </c>
      <c r="B4">
        <v>0.86529999999999996</v>
      </c>
      <c r="C4">
        <v>0.4405</v>
      </c>
      <c r="D4">
        <v>0.91879999999999995</v>
      </c>
      <c r="E4">
        <v>0.88959999999999995</v>
      </c>
      <c r="G4">
        <v>1</v>
      </c>
      <c r="H4" s="45">
        <v>2.62799617239531</v>
      </c>
      <c r="I4" s="45">
        <v>2.0250350286845</v>
      </c>
      <c r="J4" s="45">
        <v>2.5990738492660301</v>
      </c>
      <c r="K4" s="45">
        <v>2.5778672233948501</v>
      </c>
    </row>
    <row r="5" spans="1:13" x14ac:dyDescent="0.25">
      <c r="A5">
        <v>2</v>
      </c>
      <c r="B5">
        <v>0.92269999999999996</v>
      </c>
      <c r="C5">
        <v>0.89859999999999995</v>
      </c>
      <c r="D5">
        <v>0.84430000000000005</v>
      </c>
      <c r="E5">
        <v>0.88249999999999995</v>
      </c>
      <c r="G5">
        <v>2</v>
      </c>
      <c r="H5" s="45">
        <v>1.9181907597183101</v>
      </c>
      <c r="I5" s="45">
        <v>1.50641985183896</v>
      </c>
      <c r="J5" s="45">
        <v>1.4801933465217301</v>
      </c>
      <c r="K5" s="45">
        <v>1.22231190375313</v>
      </c>
    </row>
    <row r="6" spans="1:13" x14ac:dyDescent="0.25">
      <c r="A6">
        <v>6</v>
      </c>
      <c r="B6">
        <v>0.9788</v>
      </c>
      <c r="C6">
        <v>0.84909999999999997</v>
      </c>
      <c r="D6">
        <v>0.78580000000000005</v>
      </c>
      <c r="E6">
        <v>0.96909999999999996</v>
      </c>
      <c r="G6">
        <v>6</v>
      </c>
      <c r="H6" s="45">
        <v>0.76281913602068596</v>
      </c>
      <c r="I6" s="45">
        <v>1.05502803302957</v>
      </c>
      <c r="J6" s="45">
        <v>1.1674208998789299</v>
      </c>
      <c r="K6" s="45">
        <v>0.49301928292941499</v>
      </c>
    </row>
    <row r="7" spans="1:13" x14ac:dyDescent="0.25">
      <c r="A7">
        <v>10</v>
      </c>
      <c r="B7">
        <v>0.93330000000000002</v>
      </c>
      <c r="C7">
        <v>0.97750000000000004</v>
      </c>
      <c r="D7">
        <v>0.95130000000000003</v>
      </c>
      <c r="E7">
        <v>0.97399999999999998</v>
      </c>
      <c r="G7">
        <v>10</v>
      </c>
      <c r="H7" s="45">
        <v>0.94929317096285504</v>
      </c>
      <c r="I7" s="45">
        <v>1.16441144409558</v>
      </c>
      <c r="J7" s="45">
        <v>0.68091602122625206</v>
      </c>
      <c r="K7" s="45">
        <v>0.51909182902596096</v>
      </c>
    </row>
    <row r="9" spans="1:13" x14ac:dyDescent="0.25">
      <c r="A9" s="50" t="s">
        <v>188</v>
      </c>
      <c r="B9" s="50"/>
      <c r="C9" s="50"/>
      <c r="D9" s="50"/>
      <c r="E9" s="50"/>
      <c r="G9" s="50" t="s">
        <v>188</v>
      </c>
      <c r="H9" s="50"/>
      <c r="I9" s="50"/>
      <c r="J9" s="50"/>
      <c r="K9" s="50"/>
    </row>
    <row r="10" spans="1:13" x14ac:dyDescent="0.25">
      <c r="B10">
        <v>1</v>
      </c>
      <c r="C10">
        <v>2</v>
      </c>
      <c r="D10">
        <v>6</v>
      </c>
      <c r="E10">
        <v>10</v>
      </c>
      <c r="H10">
        <v>1</v>
      </c>
      <c r="I10">
        <v>2</v>
      </c>
      <c r="J10">
        <v>6</v>
      </c>
      <c r="K10">
        <v>10</v>
      </c>
    </row>
    <row r="11" spans="1:13" x14ac:dyDescent="0.25">
      <c r="A11">
        <v>1</v>
      </c>
      <c r="B11">
        <v>0.88290000000000002</v>
      </c>
      <c r="C11">
        <v>0.90059999999999996</v>
      </c>
      <c r="D11">
        <v>0.9133</v>
      </c>
      <c r="E11">
        <v>0.91039999999999999</v>
      </c>
      <c r="G11">
        <v>1</v>
      </c>
      <c r="H11" s="45">
        <v>2.4493017722543202</v>
      </c>
      <c r="I11" s="45">
        <v>2.3616838699955198</v>
      </c>
      <c r="J11" s="45">
        <v>2.2207149465039899</v>
      </c>
      <c r="K11" s="45">
        <v>2.3689288872605299</v>
      </c>
    </row>
    <row r="12" spans="1:13" x14ac:dyDescent="0.25">
      <c r="A12">
        <v>2</v>
      </c>
      <c r="B12">
        <v>0.83709999999999996</v>
      </c>
      <c r="C12">
        <v>0.93069999999999997</v>
      </c>
      <c r="D12">
        <v>0.87</v>
      </c>
      <c r="E12">
        <v>0.4093</v>
      </c>
      <c r="G12">
        <v>2</v>
      </c>
      <c r="H12" s="45">
        <v>1.66396242275092</v>
      </c>
      <c r="I12" s="45">
        <v>1.6948885662290101</v>
      </c>
      <c r="J12" s="45">
        <v>1.37583152461434</v>
      </c>
      <c r="K12" s="45">
        <v>1.2433655014510401</v>
      </c>
    </row>
    <row r="13" spans="1:13" x14ac:dyDescent="0.25">
      <c r="A13">
        <v>6</v>
      </c>
      <c r="B13">
        <v>0.93069999999999997</v>
      </c>
      <c r="C13">
        <v>0.98350000000000004</v>
      </c>
      <c r="D13">
        <v>0.85270000000000001</v>
      </c>
      <c r="E13">
        <v>0.95420000000000005</v>
      </c>
      <c r="G13">
        <v>6</v>
      </c>
      <c r="H13" s="45">
        <v>1.1198030212477199</v>
      </c>
      <c r="I13" s="45">
        <v>0.86863475393634204</v>
      </c>
      <c r="J13" s="45">
        <v>1.52181595003824</v>
      </c>
      <c r="K13" s="45">
        <v>0.90749316948437997</v>
      </c>
    </row>
    <row r="14" spans="1:13" x14ac:dyDescent="0.25">
      <c r="A14">
        <v>10</v>
      </c>
      <c r="B14">
        <v>0.94750000000000001</v>
      </c>
      <c r="C14">
        <v>0.95430000000000004</v>
      </c>
      <c r="D14">
        <v>0.92689999999999995</v>
      </c>
      <c r="E14" s="34">
        <v>0.99450000000000005</v>
      </c>
      <c r="G14">
        <v>10</v>
      </c>
      <c r="H14" s="45">
        <v>0.77557928543100796</v>
      </c>
      <c r="I14" s="45">
        <v>0.67651341444139301</v>
      </c>
      <c r="J14" s="45">
        <v>0.85120511758182005</v>
      </c>
      <c r="K14" s="45">
        <v>0.88510096191929399</v>
      </c>
    </row>
    <row r="16" spans="1:13" x14ac:dyDescent="0.25">
      <c r="A16" s="50" t="s">
        <v>189</v>
      </c>
      <c r="B16" s="50"/>
      <c r="C16" s="50"/>
      <c r="D16" s="50"/>
      <c r="E16" s="50"/>
      <c r="G16" s="50" t="s">
        <v>189</v>
      </c>
      <c r="H16" s="50"/>
      <c r="I16" s="50"/>
      <c r="J16" s="50"/>
      <c r="K16" s="50"/>
    </row>
    <row r="17" spans="1:11" x14ac:dyDescent="0.25">
      <c r="B17">
        <v>1</v>
      </c>
      <c r="C17">
        <v>2</v>
      </c>
      <c r="D17">
        <v>6</v>
      </c>
      <c r="E17">
        <v>10</v>
      </c>
      <c r="H17">
        <v>1</v>
      </c>
      <c r="I17">
        <v>2</v>
      </c>
      <c r="J17">
        <v>6</v>
      </c>
      <c r="K17">
        <v>10</v>
      </c>
    </row>
    <row r="18" spans="1:11" x14ac:dyDescent="0.25">
      <c r="A18">
        <v>1</v>
      </c>
      <c r="B18" s="45">
        <v>0.74790501594543501</v>
      </c>
      <c r="C18" s="45">
        <v>0.87122035026550304</v>
      </c>
      <c r="D18" s="45">
        <v>0.89788615703582797</v>
      </c>
      <c r="E18" s="45">
        <v>0.850447118282318</v>
      </c>
      <c r="G18">
        <v>1</v>
      </c>
      <c r="H18" s="45">
        <v>2.6158614258008601</v>
      </c>
      <c r="I18" s="45">
        <v>1.9329707567761001</v>
      </c>
      <c r="J18" s="45">
        <v>2.4449897498274802</v>
      </c>
      <c r="K18" s="45">
        <v>2.0227741015576299</v>
      </c>
    </row>
    <row r="19" spans="1:11" x14ac:dyDescent="0.25">
      <c r="A19">
        <v>2</v>
      </c>
      <c r="B19" s="45">
        <v>0.95272833108902</v>
      </c>
      <c r="C19" s="45">
        <v>0.94533389806747403</v>
      </c>
      <c r="D19" s="45">
        <v>0.94823926687240601</v>
      </c>
      <c r="E19" s="45">
        <v>0.898187935352325</v>
      </c>
      <c r="G19">
        <v>2</v>
      </c>
      <c r="H19" s="45">
        <v>1.26236423421039</v>
      </c>
      <c r="I19" s="45">
        <v>0.88498939227627405</v>
      </c>
      <c r="J19" s="45">
        <v>1.1424517912183401</v>
      </c>
      <c r="K19" s="45">
        <v>0.64516044596395195</v>
      </c>
    </row>
    <row r="20" spans="1:11" x14ac:dyDescent="0.25">
      <c r="A20">
        <v>6</v>
      </c>
      <c r="B20" s="45">
        <v>0.92610996961593595</v>
      </c>
      <c r="C20" s="45">
        <v>0.98693966865539595</v>
      </c>
      <c r="D20" s="45">
        <v>0.95827072858810403</v>
      </c>
      <c r="E20" s="45">
        <v>0.94300186634063698</v>
      </c>
      <c r="G20">
        <v>6</v>
      </c>
      <c r="H20" s="45">
        <v>0.98801806304045903</v>
      </c>
      <c r="I20" s="45">
        <v>0.72046909370426604</v>
      </c>
      <c r="J20" s="45">
        <v>0.72801216859307905</v>
      </c>
      <c r="K20" s="45">
        <v>0.69423794155458696</v>
      </c>
    </row>
    <row r="21" spans="1:11" x14ac:dyDescent="0.25">
      <c r="A21">
        <v>10</v>
      </c>
      <c r="B21" s="45">
        <v>0.92640650272369396</v>
      </c>
      <c r="C21" s="45">
        <v>0.95506948232650801</v>
      </c>
      <c r="D21" s="45">
        <v>0.96811068058013905</v>
      </c>
      <c r="E21" s="45">
        <v>0.82654237747192405</v>
      </c>
      <c r="G21">
        <v>10</v>
      </c>
      <c r="H21" s="45">
        <v>0.82177380557100399</v>
      </c>
      <c r="I21" s="45">
        <v>0.81851983830171404</v>
      </c>
      <c r="J21" s="45">
        <v>0.53067771506551897</v>
      </c>
      <c r="K21" s="45">
        <v>0.61139618628783998</v>
      </c>
    </row>
  </sheetData>
  <mergeCells count="8">
    <mergeCell ref="A1:E1"/>
    <mergeCell ref="A2:E2"/>
    <mergeCell ref="A9:E9"/>
    <mergeCell ref="A16:E16"/>
    <mergeCell ref="G1:K1"/>
    <mergeCell ref="G2:K2"/>
    <mergeCell ref="G9:K9"/>
    <mergeCell ref="G16:K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A8E9-1249-4E89-84ED-042191C4E7FF}">
  <dimension ref="A1:K21"/>
  <sheetViews>
    <sheetView zoomScale="120" zoomScaleNormal="120" workbookViewId="0">
      <selection activeCell="H18" sqref="H18:K21"/>
    </sheetView>
  </sheetViews>
  <sheetFormatPr defaultRowHeight="15" x14ac:dyDescent="0.25"/>
  <cols>
    <col min="2" max="5" width="13.28515625" bestFit="1" customWidth="1"/>
  </cols>
  <sheetData>
    <row r="1" spans="1:11" x14ac:dyDescent="0.25">
      <c r="A1" s="50" t="s">
        <v>186</v>
      </c>
      <c r="B1" s="50"/>
      <c r="C1" s="50"/>
      <c r="D1" s="50"/>
      <c r="E1" s="50"/>
      <c r="G1" s="50" t="s">
        <v>190</v>
      </c>
      <c r="H1" s="50"/>
      <c r="I1" s="50"/>
      <c r="J1" s="50"/>
      <c r="K1" s="50"/>
    </row>
    <row r="2" spans="1:11" x14ac:dyDescent="0.25">
      <c r="A2" s="50" t="s">
        <v>187</v>
      </c>
      <c r="B2" s="50"/>
      <c r="C2" s="50"/>
      <c r="D2" s="50"/>
      <c r="E2" s="50"/>
      <c r="G2" s="50" t="s">
        <v>187</v>
      </c>
      <c r="H2" s="50"/>
      <c r="I2" s="50"/>
      <c r="J2" s="50"/>
      <c r="K2" s="50"/>
    </row>
    <row r="3" spans="1:11" x14ac:dyDescent="0.25">
      <c r="B3">
        <v>1</v>
      </c>
      <c r="C3">
        <v>2</v>
      </c>
      <c r="D3">
        <v>6</v>
      </c>
      <c r="E3">
        <v>10</v>
      </c>
      <c r="H3">
        <v>1</v>
      </c>
      <c r="I3">
        <v>2</v>
      </c>
      <c r="J3">
        <v>6</v>
      </c>
      <c r="K3">
        <v>10</v>
      </c>
    </row>
    <row r="4" spans="1:11" x14ac:dyDescent="0.25">
      <c r="A4">
        <v>1</v>
      </c>
      <c r="B4" s="48">
        <v>0.38623360991478001</v>
      </c>
      <c r="C4" s="48">
        <v>0.41165187954902699</v>
      </c>
      <c r="D4" s="48">
        <v>0.54812365174293498</v>
      </c>
      <c r="E4" s="48">
        <v>0.35654777064919502</v>
      </c>
      <c r="G4">
        <v>1</v>
      </c>
      <c r="H4" s="45">
        <v>0.92046029806137097</v>
      </c>
      <c r="I4" s="45">
        <v>0.92467922647794099</v>
      </c>
      <c r="J4" s="45">
        <v>0.844566075007121</v>
      </c>
      <c r="K4" s="45">
        <v>0.90474437634150195</v>
      </c>
    </row>
    <row r="5" spans="1:11" x14ac:dyDescent="0.25">
      <c r="A5">
        <v>2</v>
      </c>
      <c r="B5" s="48">
        <v>0.70035315752029403</v>
      </c>
      <c r="C5" s="48">
        <v>0.61807641386985801</v>
      </c>
      <c r="D5" s="48">
        <v>0.71262835264205904</v>
      </c>
      <c r="E5" s="48">
        <v>0.666957771778107</v>
      </c>
      <c r="G5">
        <v>2</v>
      </c>
      <c r="H5" s="45">
        <v>0.67909542024135605</v>
      </c>
      <c r="I5" s="45">
        <v>0.70959042410055795</v>
      </c>
      <c r="J5" s="45">
        <v>0.62236649334430705</v>
      </c>
      <c r="K5" s="45">
        <v>0.65489057441552501</v>
      </c>
    </row>
    <row r="6" spans="1:11" x14ac:dyDescent="0.25">
      <c r="A6">
        <v>6</v>
      </c>
      <c r="B6" s="48">
        <v>0.74853790998458902</v>
      </c>
      <c r="C6" s="48">
        <v>0.79445731639862105</v>
      </c>
      <c r="D6" s="48">
        <v>0.84288645982742305</v>
      </c>
      <c r="E6" s="48">
        <v>0.82456539869308498</v>
      </c>
      <c r="G6">
        <v>6</v>
      </c>
      <c r="H6" s="45">
        <v>0.60112846215565996</v>
      </c>
      <c r="I6" s="45">
        <v>0.53431789298852295</v>
      </c>
      <c r="J6" s="45">
        <v>0.40007083714008301</v>
      </c>
      <c r="K6" s="45">
        <v>0.455512002309163</v>
      </c>
    </row>
    <row r="7" spans="1:11" x14ac:dyDescent="0.25">
      <c r="A7">
        <v>10</v>
      </c>
      <c r="B7" s="48">
        <v>0.825968241691589</v>
      </c>
      <c r="C7" s="48">
        <v>0.90354301929473901</v>
      </c>
      <c r="D7" s="48">
        <v>0.88527810573577903</v>
      </c>
      <c r="E7" s="48">
        <v>0.89161580801010099</v>
      </c>
      <c r="G7">
        <v>10</v>
      </c>
      <c r="H7" s="45">
        <v>0.50542264580726604</v>
      </c>
      <c r="I7" s="45">
        <v>0.35292592629790298</v>
      </c>
      <c r="J7" s="45">
        <v>0.375060452918212</v>
      </c>
      <c r="K7" s="45">
        <v>0.34781059046586399</v>
      </c>
    </row>
    <row r="9" spans="1:11" x14ac:dyDescent="0.25">
      <c r="A9" s="50" t="s">
        <v>188</v>
      </c>
      <c r="B9" s="50"/>
      <c r="C9" s="50"/>
      <c r="D9" s="50"/>
      <c r="E9" s="50"/>
      <c r="G9" s="50" t="s">
        <v>188</v>
      </c>
      <c r="H9" s="50"/>
      <c r="I9" s="50"/>
      <c r="J9" s="50"/>
      <c r="K9" s="50"/>
    </row>
    <row r="10" spans="1:11" x14ac:dyDescent="0.25">
      <c r="B10">
        <v>1</v>
      </c>
      <c r="C10">
        <v>2</v>
      </c>
      <c r="D10">
        <v>6</v>
      </c>
      <c r="E10">
        <v>10</v>
      </c>
      <c r="H10">
        <v>1</v>
      </c>
      <c r="I10">
        <v>2</v>
      </c>
      <c r="J10">
        <v>6</v>
      </c>
      <c r="K10">
        <v>10</v>
      </c>
    </row>
    <row r="11" spans="1:11" x14ac:dyDescent="0.25">
      <c r="A11">
        <v>1</v>
      </c>
      <c r="B11" s="46">
        <v>0.45739037990570097</v>
      </c>
      <c r="C11" s="46">
        <v>0.61639311909675598</v>
      </c>
      <c r="D11" s="46">
        <v>0.526385951042175</v>
      </c>
      <c r="E11" s="46">
        <v>0.50753988027572605</v>
      </c>
      <c r="G11">
        <v>1</v>
      </c>
      <c r="H11" s="45">
        <v>0.85494538307189905</v>
      </c>
      <c r="I11" s="45">
        <v>0.74619938611984304</v>
      </c>
      <c r="J11" s="45">
        <v>0.84378230909506502</v>
      </c>
      <c r="K11" s="45">
        <v>0.84965530494848895</v>
      </c>
    </row>
    <row r="12" spans="1:11" x14ac:dyDescent="0.25">
      <c r="A12">
        <v>2</v>
      </c>
      <c r="B12" s="46">
        <v>0.73016579151153604</v>
      </c>
      <c r="C12" s="46">
        <v>0.81436164379119902</v>
      </c>
      <c r="D12" s="46">
        <v>0.799794209003448</v>
      </c>
      <c r="E12" s="46">
        <v>0.75651396512985203</v>
      </c>
      <c r="G12">
        <v>2</v>
      </c>
      <c r="H12" s="45">
        <v>0.62884018043677004</v>
      </c>
      <c r="I12" s="45">
        <v>0.50696178078651399</v>
      </c>
      <c r="J12" s="45">
        <v>0.52839090367158303</v>
      </c>
      <c r="K12" s="45">
        <v>0.54761655728022296</v>
      </c>
    </row>
    <row r="13" spans="1:11" x14ac:dyDescent="0.25">
      <c r="A13">
        <v>6</v>
      </c>
      <c r="B13" s="46">
        <v>0.83712767362594598</v>
      </c>
      <c r="C13" s="46">
        <v>0.868865478038788</v>
      </c>
      <c r="D13" s="46">
        <v>0.84093843698501602</v>
      </c>
      <c r="E13" s="46">
        <v>0.89465531110763596</v>
      </c>
      <c r="G13">
        <v>6</v>
      </c>
      <c r="H13" s="45">
        <v>0.472827402154605</v>
      </c>
      <c r="I13" s="45">
        <v>0.40943773726622301</v>
      </c>
      <c r="J13" s="45">
        <v>0.43261423677206001</v>
      </c>
      <c r="K13" s="45">
        <v>0.37408150414625801</v>
      </c>
    </row>
    <row r="14" spans="1:11" x14ac:dyDescent="0.25">
      <c r="A14">
        <v>10</v>
      </c>
      <c r="B14" s="46">
        <v>0.85475270748138399</v>
      </c>
      <c r="C14" s="46">
        <v>0.87829405069351196</v>
      </c>
      <c r="D14" s="46">
        <v>0.90859928131103496</v>
      </c>
      <c r="E14" s="47">
        <v>0.92690857648849501</v>
      </c>
      <c r="G14">
        <v>10</v>
      </c>
      <c r="H14" s="45">
        <v>0.43578200717767102</v>
      </c>
      <c r="I14" s="45">
        <v>0.35525371630986502</v>
      </c>
      <c r="J14" s="45">
        <v>0.33374305109183</v>
      </c>
      <c r="K14" s="45">
        <v>0.28123467187086698</v>
      </c>
    </row>
    <row r="16" spans="1:11" x14ac:dyDescent="0.25">
      <c r="A16" s="50" t="s">
        <v>189</v>
      </c>
      <c r="B16" s="50"/>
      <c r="C16" s="50"/>
      <c r="D16" s="50"/>
      <c r="E16" s="50"/>
      <c r="G16" s="50" t="s">
        <v>189</v>
      </c>
      <c r="H16" s="50"/>
      <c r="I16" s="50"/>
      <c r="J16" s="50"/>
      <c r="K16" s="50"/>
    </row>
    <row r="17" spans="1:11" x14ac:dyDescent="0.25">
      <c r="B17">
        <v>1</v>
      </c>
      <c r="C17">
        <v>2</v>
      </c>
      <c r="D17">
        <v>6</v>
      </c>
      <c r="E17">
        <v>10</v>
      </c>
      <c r="H17">
        <v>1</v>
      </c>
      <c r="I17">
        <v>2</v>
      </c>
      <c r="J17">
        <v>6</v>
      </c>
      <c r="K17">
        <v>10</v>
      </c>
    </row>
    <row r="18" spans="1:11" x14ac:dyDescent="0.25">
      <c r="A18">
        <v>1</v>
      </c>
      <c r="B18" s="46">
        <v>0.59536756277084402</v>
      </c>
      <c r="C18" s="46">
        <v>0.53493416905403102</v>
      </c>
      <c r="D18" s="46">
        <v>0.60624814033508301</v>
      </c>
      <c r="E18" s="46">
        <v>0.56326765418052704</v>
      </c>
      <c r="G18">
        <v>1</v>
      </c>
      <c r="H18" s="45">
        <v>0.80933010697364804</v>
      </c>
      <c r="I18" s="45">
        <v>0.77657027781009702</v>
      </c>
      <c r="J18" s="45">
        <v>0.76304339369138097</v>
      </c>
      <c r="K18" s="45">
        <v>0.77497486631075496</v>
      </c>
    </row>
    <row r="19" spans="1:11" x14ac:dyDescent="0.25">
      <c r="A19">
        <v>2</v>
      </c>
      <c r="B19" s="46">
        <v>0.74099569320678704</v>
      </c>
      <c r="C19" s="46">
        <v>0.72751333713531496</v>
      </c>
      <c r="D19" s="46">
        <v>0.68898539543151904</v>
      </c>
      <c r="E19" s="46">
        <v>0.740745866298676</v>
      </c>
      <c r="G19">
        <v>2</v>
      </c>
      <c r="H19" s="45">
        <v>0.62518745024999001</v>
      </c>
      <c r="I19" s="45">
        <v>0.56843938450018605</v>
      </c>
      <c r="J19" s="45">
        <v>0.596045269171397</v>
      </c>
      <c r="K19" s="45">
        <v>0.55403996288776403</v>
      </c>
    </row>
    <row r="20" spans="1:11" x14ac:dyDescent="0.25">
      <c r="A20">
        <v>6</v>
      </c>
      <c r="B20" s="46">
        <v>0.85726510286331203</v>
      </c>
      <c r="C20" s="46">
        <v>0.87805100679397596</v>
      </c>
      <c r="D20" s="46">
        <v>0.86887568235397294</v>
      </c>
      <c r="E20" s="46">
        <v>0.92141072750091602</v>
      </c>
      <c r="G20">
        <v>6</v>
      </c>
      <c r="H20" s="45">
        <v>0.44082987805207602</v>
      </c>
      <c r="I20" s="45">
        <v>0.39713813324769298</v>
      </c>
      <c r="J20" s="45">
        <v>0.40445313096046398</v>
      </c>
      <c r="K20" s="45">
        <v>0.29841865976651499</v>
      </c>
    </row>
    <row r="21" spans="1:11" x14ac:dyDescent="0.25">
      <c r="A21">
        <v>10</v>
      </c>
      <c r="B21" s="46">
        <v>0.84432711601257304</v>
      </c>
      <c r="C21" s="46">
        <v>0.907089388370514</v>
      </c>
      <c r="D21" s="46">
        <v>0.88625659942627</v>
      </c>
      <c r="E21" s="46">
        <v>0.90064820051193195</v>
      </c>
      <c r="G21">
        <v>10</v>
      </c>
      <c r="H21" s="45">
        <v>0.44174757977326701</v>
      </c>
      <c r="I21" s="45">
        <v>0.33681899502873403</v>
      </c>
      <c r="J21" s="45">
        <v>0.360265974799792</v>
      </c>
      <c r="K21" s="45">
        <v>0.33513923337062201</v>
      </c>
    </row>
  </sheetData>
  <mergeCells count="8">
    <mergeCell ref="A16:E16"/>
    <mergeCell ref="G16:K16"/>
    <mergeCell ref="A1:E1"/>
    <mergeCell ref="G1:K1"/>
    <mergeCell ref="A2:E2"/>
    <mergeCell ref="G2:K2"/>
    <mergeCell ref="A9:E9"/>
    <mergeCell ref="G9:K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845A-C102-4E26-9A07-A03B2FDEFAFC}">
  <dimension ref="A1:P19"/>
  <sheetViews>
    <sheetView zoomScale="80" zoomScaleNormal="80" workbookViewId="0">
      <selection activeCell="R9" sqref="R9"/>
    </sheetView>
  </sheetViews>
  <sheetFormatPr defaultRowHeight="15" x14ac:dyDescent="0.25"/>
  <cols>
    <col min="1" max="1" width="16.140625" customWidth="1"/>
    <col min="9" max="9" width="10.140625" customWidth="1"/>
  </cols>
  <sheetData>
    <row r="1" spans="1:16" x14ac:dyDescent="0.25">
      <c r="A1" s="50" t="s">
        <v>191</v>
      </c>
      <c r="B1" s="50"/>
      <c r="C1" s="50"/>
      <c r="D1" s="50"/>
      <c r="E1" s="50"/>
      <c r="F1" s="50"/>
      <c r="G1" s="50"/>
      <c r="K1" s="50" t="s">
        <v>202</v>
      </c>
      <c r="L1" s="50"/>
      <c r="M1" s="50"/>
      <c r="N1" s="50"/>
      <c r="O1" s="50"/>
      <c r="P1" s="50"/>
    </row>
    <row r="2" spans="1:16" x14ac:dyDescent="0.25">
      <c r="B2">
        <v>0</v>
      </c>
      <c r="C2">
        <v>10</v>
      </c>
      <c r="D2">
        <v>20</v>
      </c>
      <c r="E2">
        <v>30</v>
      </c>
      <c r="F2">
        <v>60</v>
      </c>
      <c r="G2">
        <v>90</v>
      </c>
      <c r="K2" t="s">
        <v>203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</row>
    <row r="3" spans="1:16" x14ac:dyDescent="0.25">
      <c r="A3" t="s">
        <v>126</v>
      </c>
      <c r="B3">
        <v>1</v>
      </c>
      <c r="C3">
        <v>0.97727997006321277</v>
      </c>
      <c r="D3">
        <v>1.1635105640707388</v>
      </c>
      <c r="E3">
        <v>1.2450460019517138</v>
      </c>
      <c r="F3">
        <v>1.8553948563802778</v>
      </c>
      <c r="G3">
        <v>3.0623909654205845</v>
      </c>
      <c r="K3">
        <v>0.40629822295896001</v>
      </c>
      <c r="L3">
        <v>0.63489385613301597</v>
      </c>
      <c r="M3">
        <v>0.163852155294956</v>
      </c>
      <c r="N3">
        <v>0.43189915209909602</v>
      </c>
      <c r="O3">
        <v>0.65001590653132202</v>
      </c>
      <c r="P3">
        <f>AVERAGE(K3:O3)</f>
        <v>0.45739185860347009</v>
      </c>
    </row>
    <row r="4" spans="1:16" x14ac:dyDescent="0.25">
      <c r="A4" t="s">
        <v>127</v>
      </c>
      <c r="B4">
        <v>1</v>
      </c>
      <c r="C4">
        <v>1.1346406331771703</v>
      </c>
      <c r="D4">
        <v>1.2632367685825776</v>
      </c>
      <c r="E4">
        <v>1.2711337934473392</v>
      </c>
      <c r="F4">
        <v>2.6388006444038838</v>
      </c>
      <c r="G4">
        <v>2.8459221610295078</v>
      </c>
    </row>
    <row r="5" spans="1:16" x14ac:dyDescent="0.25">
      <c r="A5" t="s">
        <v>128</v>
      </c>
      <c r="B5">
        <v>1</v>
      </c>
      <c r="C5">
        <v>2.4170599570110811</v>
      </c>
      <c r="D5">
        <v>5.6780208019615603</v>
      </c>
      <c r="E5">
        <v>2.7028786198039136</v>
      </c>
      <c r="F5">
        <v>4.0495729914570164</v>
      </c>
      <c r="G5">
        <v>7.4946817776745505</v>
      </c>
    </row>
    <row r="6" spans="1:16" x14ac:dyDescent="0.25">
      <c r="A6" t="s">
        <v>129</v>
      </c>
      <c r="B6">
        <v>1</v>
      </c>
      <c r="C6">
        <v>1.5099367752995696</v>
      </c>
      <c r="D6">
        <v>1.532879866080505</v>
      </c>
      <c r="E6">
        <v>1.8057000358604403</v>
      </c>
      <c r="F6">
        <v>2.7243468400983728</v>
      </c>
      <c r="G6">
        <v>4.9583023728954192</v>
      </c>
      <c r="K6" s="50" t="s">
        <v>209</v>
      </c>
      <c r="L6" s="50"/>
      <c r="M6" s="50"/>
      <c r="N6" s="50"/>
      <c r="O6" s="50"/>
      <c r="P6" s="50"/>
    </row>
    <row r="7" spans="1:16" x14ac:dyDescent="0.25">
      <c r="A7" t="s">
        <v>130</v>
      </c>
      <c r="B7">
        <v>1</v>
      </c>
      <c r="C7">
        <v>1.3577277130115386</v>
      </c>
      <c r="D7">
        <v>1.7215974394471327</v>
      </c>
      <c r="E7">
        <v>2.632205566754855</v>
      </c>
      <c r="F7">
        <v>2.6527682900797296</v>
      </c>
      <c r="G7">
        <v>4.0307461237402649</v>
      </c>
      <c r="K7" t="s">
        <v>203</v>
      </c>
      <c r="L7" t="s">
        <v>204</v>
      </c>
      <c r="M7" t="s">
        <v>205</v>
      </c>
      <c r="N7" t="s">
        <v>206</v>
      </c>
      <c r="O7" t="s">
        <v>207</v>
      </c>
      <c r="P7" t="s">
        <v>208</v>
      </c>
    </row>
    <row r="8" spans="1:16" x14ac:dyDescent="0.25">
      <c r="K8">
        <v>0.382594005619869</v>
      </c>
      <c r="L8">
        <v>0.60596030877137097</v>
      </c>
      <c r="M8">
        <v>9.2210281718044504E-2</v>
      </c>
      <c r="N8">
        <v>0.40518323029338099</v>
      </c>
      <c r="O8">
        <v>0.65927274697097404</v>
      </c>
      <c r="P8">
        <f>AVERAGE(K8:O8)</f>
        <v>0.42904411467472786</v>
      </c>
    </row>
    <row r="9" spans="1:16" x14ac:dyDescent="0.25">
      <c r="A9" s="50" t="s">
        <v>192</v>
      </c>
      <c r="B9" s="50"/>
      <c r="C9" s="50"/>
      <c r="D9" s="50"/>
      <c r="E9" s="50"/>
      <c r="F9" s="50"/>
      <c r="G9" s="50"/>
      <c r="I9" t="s">
        <v>201</v>
      </c>
    </row>
    <row r="10" spans="1:16" x14ac:dyDescent="0.25">
      <c r="A10" t="s">
        <v>195</v>
      </c>
      <c r="B10">
        <f>B3+((B5-B3)*(5/10))</f>
        <v>1</v>
      </c>
      <c r="C10">
        <f t="shared" ref="C10:G10" si="0">C3+((C5-C3)*(5/10))</f>
        <v>1.6971699635371471</v>
      </c>
      <c r="D10">
        <f t="shared" si="0"/>
        <v>3.4207656830161497</v>
      </c>
      <c r="E10">
        <f t="shared" si="0"/>
        <v>1.9739623108778137</v>
      </c>
      <c r="F10">
        <f t="shared" si="0"/>
        <v>2.9524839239186473</v>
      </c>
      <c r="G10">
        <f t="shared" si="0"/>
        <v>5.2785363715475668</v>
      </c>
      <c r="I10">
        <f>RSQ(B10:G10,B11:G11)</f>
        <v>0.62148534677106027</v>
      </c>
    </row>
    <row r="11" spans="1:16" x14ac:dyDescent="0.25">
      <c r="A11" t="s">
        <v>198</v>
      </c>
      <c r="B11">
        <v>1</v>
      </c>
      <c r="C11">
        <v>1.1346406331771703</v>
      </c>
      <c r="D11">
        <v>1.2632367685825776</v>
      </c>
      <c r="E11">
        <v>1.2711337934473392</v>
      </c>
      <c r="F11">
        <v>2.6388006444038838</v>
      </c>
      <c r="G11">
        <v>2.8459221610295078</v>
      </c>
    </row>
    <row r="13" spans="1:16" x14ac:dyDescent="0.25">
      <c r="A13" s="50" t="s">
        <v>193</v>
      </c>
      <c r="B13" s="50"/>
      <c r="C13" s="50"/>
      <c r="D13" s="50"/>
      <c r="E13" s="50"/>
      <c r="F13" s="50"/>
      <c r="G13" s="50"/>
    </row>
    <row r="14" spans="1:16" x14ac:dyDescent="0.25">
      <c r="A14" t="s">
        <v>196</v>
      </c>
      <c r="B14">
        <f t="shared" ref="B14:G14" si="1">B4+((B6-B4)*(5/10))</f>
        <v>1</v>
      </c>
      <c r="C14">
        <f t="shared" si="1"/>
        <v>1.32228870423837</v>
      </c>
      <c r="D14">
        <f t="shared" si="1"/>
        <v>1.3980583173315413</v>
      </c>
      <c r="E14">
        <f t="shared" si="1"/>
        <v>1.5384169146538897</v>
      </c>
      <c r="F14">
        <f t="shared" si="1"/>
        <v>2.6815737422511283</v>
      </c>
      <c r="G14">
        <f t="shared" si="1"/>
        <v>3.9021122669624635</v>
      </c>
      <c r="I14">
        <f>RSQ(B14:G14,B15:G15)</f>
        <v>0.61958683823142757</v>
      </c>
    </row>
    <row r="15" spans="1:16" x14ac:dyDescent="0.25">
      <c r="A15" t="s">
        <v>199</v>
      </c>
      <c r="B15">
        <v>1</v>
      </c>
      <c r="C15">
        <v>2.4170599570110811</v>
      </c>
      <c r="D15">
        <v>5.6780208019615603</v>
      </c>
      <c r="E15">
        <v>2.7028786198039136</v>
      </c>
      <c r="F15">
        <v>4.0495729914570164</v>
      </c>
      <c r="G15">
        <v>7.4946817776745505</v>
      </c>
    </row>
    <row r="17" spans="1:9" x14ac:dyDescent="0.25">
      <c r="A17" s="50" t="s">
        <v>194</v>
      </c>
      <c r="B17" s="50"/>
      <c r="C17" s="50"/>
      <c r="D17" s="50"/>
      <c r="E17" s="50"/>
      <c r="F17" s="50"/>
      <c r="G17" s="50"/>
    </row>
    <row r="18" spans="1:9" x14ac:dyDescent="0.25">
      <c r="A18" t="s">
        <v>197</v>
      </c>
      <c r="B18">
        <f t="shared" ref="B18:G18" si="2">B5+((B7-B5)*(5/10))</f>
        <v>1</v>
      </c>
      <c r="C18">
        <f t="shared" si="2"/>
        <v>1.8873938350113098</v>
      </c>
      <c r="D18">
        <f t="shared" si="2"/>
        <v>3.6998091207043466</v>
      </c>
      <c r="E18">
        <f t="shared" si="2"/>
        <v>2.6675420932793843</v>
      </c>
      <c r="F18">
        <f t="shared" si="2"/>
        <v>3.3511706407683732</v>
      </c>
      <c r="G18">
        <f t="shared" si="2"/>
        <v>5.7627139507074077</v>
      </c>
      <c r="I18">
        <f>RSQ(B18:G18,B19:G19)</f>
        <v>0.79992231407650638</v>
      </c>
    </row>
    <row r="19" spans="1:9" x14ac:dyDescent="0.25">
      <c r="A19" t="s">
        <v>200</v>
      </c>
      <c r="B19">
        <v>1</v>
      </c>
      <c r="C19">
        <v>1.5099367752995696</v>
      </c>
      <c r="D19">
        <v>1.532879866080505</v>
      </c>
      <c r="E19">
        <v>1.8057000358604403</v>
      </c>
      <c r="F19">
        <v>2.7243468400983728</v>
      </c>
      <c r="G19">
        <v>4.9583023728954192</v>
      </c>
    </row>
  </sheetData>
  <mergeCells count="6">
    <mergeCell ref="A17:G17"/>
    <mergeCell ref="K1:P1"/>
    <mergeCell ref="K6:P6"/>
    <mergeCell ref="A1:G1"/>
    <mergeCell ref="A9:G9"/>
    <mergeCell ref="A13:G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Overview-Key</vt:lpstr>
      <vt:lpstr>Mica0</vt:lpstr>
      <vt:lpstr>Mica1</vt:lpstr>
      <vt:lpstr>Mica2</vt:lpstr>
      <vt:lpstr>Mica3</vt:lpstr>
      <vt:lpstr>Mica4</vt:lpstr>
      <vt:lpstr>LSTM Data Organization</vt:lpstr>
      <vt:lpstr>AvgTechReps</vt:lpstr>
      <vt:lpstr>T1 - AllMicaAvs</vt:lpstr>
      <vt:lpstr>T2 -Dose-ResponseAvgs</vt:lpstr>
      <vt:lpstr>T3 - ANOVA</vt:lpstr>
      <vt:lpstr>T4 - ParameterOpt_ALLData</vt:lpstr>
      <vt:lpstr>T5 - ParameterOpt_KFold</vt:lpstr>
      <vt:lpstr>T6 - Interp Technique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Zavorskas</dc:creator>
  <cp:lastModifiedBy>Zavorskas, Joseph</cp:lastModifiedBy>
  <dcterms:created xsi:type="dcterms:W3CDTF">2022-02-08T19:35:26Z</dcterms:created>
  <dcterms:modified xsi:type="dcterms:W3CDTF">2026-01-10T21:21:13Z</dcterms:modified>
</cp:coreProperties>
</file>